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6yi/907AvcaOUVd7ntmY/jIFDpqDTgOXFh7Rogsa1Ng="/>
    </ext>
  </extLst>
</workbook>
</file>

<file path=xl/sharedStrings.xml><?xml version="1.0" encoding="utf-8"?>
<sst xmlns="http://schemas.openxmlformats.org/spreadsheetml/2006/main" count="1387" uniqueCount="471">
  <si>
    <t>OCC2010</t>
  </si>
  <si>
    <t>Occupation (2010 basis)</t>
  </si>
  <si>
    <t>Industry</t>
  </si>
  <si>
    <t>Leadership</t>
  </si>
  <si>
    <t>Chief executives and legislators/public administration</t>
  </si>
  <si>
    <t>Corporate / Private Sector</t>
  </si>
  <si>
    <t>Yes</t>
  </si>
  <si>
    <t>INDUSTRY</t>
  </si>
  <si>
    <t>General and Operations Managers</t>
  </si>
  <si>
    <t>Managers in Marketing, Advertising, and Public Relations</t>
  </si>
  <si>
    <t>Administrative Services Managers</t>
  </si>
  <si>
    <t>Computer and Information Systems Managers</t>
  </si>
  <si>
    <t>Academia &amp; Research</t>
  </si>
  <si>
    <t>Financial Managers</t>
  </si>
  <si>
    <t>Human Resources Managers</t>
  </si>
  <si>
    <t>Industrial Production Managers</t>
  </si>
  <si>
    <t>Legal &amp; Public Sector</t>
  </si>
  <si>
    <t>Purchasing Managers</t>
  </si>
  <si>
    <t>Transportation, Storage, and Distribution Managers</t>
  </si>
  <si>
    <t>Farmers, Ranchers, and Other Agricultural Managers</t>
  </si>
  <si>
    <t>No</t>
  </si>
  <si>
    <t>Healthcare</t>
  </si>
  <si>
    <t>Constructions Managers</t>
  </si>
  <si>
    <t>Education Administrators</t>
  </si>
  <si>
    <t>Architectural and Engineering Managers</t>
  </si>
  <si>
    <t>Unemployed</t>
  </si>
  <si>
    <t>Food Service and Lodging Managers</t>
  </si>
  <si>
    <t>Funeral Directors</t>
  </si>
  <si>
    <t>Gaming Managers</t>
  </si>
  <si>
    <t>Medical and Health Services Managers</t>
  </si>
  <si>
    <t>LEADERSHIP</t>
  </si>
  <si>
    <t>Natural Science Managers</t>
  </si>
  <si>
    <t>Property, Real Estate, and Community Association Managers</t>
  </si>
  <si>
    <t>Social and Community Service Managers</t>
  </si>
  <si>
    <t>Managers, nec (including Postmasters)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</si>
  <si>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</si>
  <si>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</si>
  <si>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</si>
  <si>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</si>
  <si>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</si>
  <si>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 Except Agriculture</t>
  </si>
  <si>
    <t>Cost Estimators</t>
  </si>
  <si>
    <t>Human Resources, Training, and Labor Relations Specialists</t>
  </si>
  <si>
    <t>Logisticians</t>
  </si>
  <si>
    <t>Management Analysts</t>
  </si>
  <si>
    <t>Meeting and Convention Planners</t>
  </si>
  <si>
    <t>Other Business Operations and Management Specialists</t>
  </si>
  <si>
    <t>Accountants and Auditors</t>
  </si>
  <si>
    <t>Appraisers and Assessors of Real Estate</t>
  </si>
  <si>
    <t>Budget Analysts</t>
  </si>
  <si>
    <t>Credit Analysts</t>
  </si>
  <si>
    <t>Financial Analysts</t>
  </si>
  <si>
    <t>Personal Financial Advisors</t>
  </si>
  <si>
    <t>Insurance Underwriters</t>
  </si>
  <si>
    <t>Financial Examiners</t>
  </si>
  <si>
    <t>Credit Counselors and Loan Officers</t>
  </si>
  <si>
    <t>Tax Examiners and Collectors, and Revenue Agents</t>
  </si>
  <si>
    <t>Tax Preparers</t>
  </si>
  <si>
    <t>Financial Specialists, nec</t>
  </si>
  <si>
    <t>Computer Scientists and Systems Analysts</t>
  </si>
  <si>
    <t>Computer Programmers</t>
  </si>
  <si>
    <t>Software Developers</t>
  </si>
  <si>
    <t>Computer Support Specialists</t>
  </si>
  <si>
    <t>Database Administrators</t>
  </si>
  <si>
    <t>Network and Computer Systems Administrators</t>
  </si>
  <si>
    <t>Actuaries</t>
  </si>
  <si>
    <t>Operations Research Analysts</t>
  </si>
  <si>
    <t>Statisticians</t>
  </si>
  <si>
    <t>Mathematical science occupations, nec</t>
  </si>
  <si>
    <t>Architects, Except Naval</t>
  </si>
  <si>
    <t>Surveyors, Cartographers, and Photogrammetrists</t>
  </si>
  <si>
    <t>Aerospace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</si>
  <si>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</si>
  <si>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</si>
  <si>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</si>
  <si>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</si>
  <si>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</si>
  <si>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</si>
  <si>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</si>
  <si>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</si>
  <si>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</si>
  <si>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Petroleum, Mining, and Geological Engineers</t>
  </si>
  <si>
    <t>Engineers, nec</t>
  </si>
  <si>
    <t>Drafters</t>
  </si>
  <si>
    <t>Engineering Technicians, Except Drafters</t>
  </si>
  <si>
    <t>Surveying and Mapping Technicians</t>
  </si>
  <si>
    <t>Agricultural and Food Scientists</t>
  </si>
  <si>
    <t>Biological Scientists</t>
  </si>
  <si>
    <t>Conservation Scientists and Foresters</t>
  </si>
  <si>
    <t>Medical Scientists</t>
  </si>
  <si>
    <t>Astronomers and Physicists</t>
  </si>
  <si>
    <t>Atmospheric and Space Scientists</t>
  </si>
  <si>
    <t>Chemists and Materials Scientists</t>
  </si>
  <si>
    <t>Environmental Scientists and Geoscientists</t>
  </si>
  <si>
    <t>Physical Scientists, nec</t>
  </si>
  <si>
    <t>Economists and market researchers</t>
  </si>
  <si>
    <t>Psychologists</t>
  </si>
  <si>
    <t>Urban and Regional Planners</t>
  </si>
  <si>
    <t>Social Scientists, nec</t>
  </si>
  <si>
    <t>Agricultural and Food Science Technicians</t>
  </si>
  <si>
    <t>Biological Technicians</t>
  </si>
  <si>
    <t>Chemical Technicians</t>
  </si>
  <si>
    <t>Geological and Petroleum Technicians, and Nuclear Technicians</t>
  </si>
  <si>
    <t>Life, Physical, and Social Science Technicians, nec</t>
  </si>
  <si>
    <t>Professional, Research, or Technical Workers, nec</t>
  </si>
  <si>
    <t>Counselors</t>
  </si>
  <si>
    <t>Social Workers</t>
  </si>
  <si>
    <t>Community and Social Service Specialists, nec</t>
  </si>
  <si>
    <t>Clergy</t>
  </si>
  <si>
    <t>Directors, Religious Activities and Education</t>
  </si>
  <si>
    <t>Religious Workers, nec</t>
  </si>
  <si>
    <t>Lawyers, Judges, Magistrates</t>
  </si>
  <si>
    <t>Paralegals and Legal Assistants</t>
  </si>
  <si>
    <t>Legal Support Workers, nec</t>
  </si>
  <si>
    <t>Postsecondary Teachers</t>
  </si>
  <si>
    <t>Preschool and Kindergarten Teachers</t>
  </si>
  <si>
    <t>Elementary and Middle School Teachers</t>
  </si>
  <si>
    <t>Secondary School Teachers</t>
  </si>
  <si>
    <t>Special Education Teachers</t>
  </si>
  <si>
    <t>Other Teachers and Instructors</t>
  </si>
  <si>
    <t>Archivists, Curators, and Museum Technicians</t>
  </si>
  <si>
    <t>Librarians</t>
  </si>
  <si>
    <t>Library Technicians</t>
  </si>
  <si>
    <t>Teacher Assistants</t>
  </si>
  <si>
    <t>Education, Training, and Library Workers, nec</t>
  </si>
  <si>
    <t>Artists and Related Workers</t>
  </si>
  <si>
    <t>Designers</t>
  </si>
  <si>
    <t>Actors, Producers, and Directors</t>
  </si>
  <si>
    <t>Athletes, Coaches, Umpires, and Related Workers</t>
  </si>
  <si>
    <t>Dancers and Choreographers</t>
  </si>
  <si>
    <t>Musicians, Singers, and Related Workers</t>
  </si>
  <si>
    <t>Entertainers and Performers, Sports and Related Workers, All Other</t>
  </si>
  <si>
    <t>Announcers</t>
  </si>
  <si>
    <t>Editors, News Analysts, Reporters, and Correspondents</t>
  </si>
  <si>
    <t>Public Relations Specialists</t>
  </si>
  <si>
    <t>Technical Writers</t>
  </si>
  <si>
    <t>Writers and Authors</t>
  </si>
  <si>
    <t>Media and Communication Workers, nec</t>
  </si>
  <si>
    <t>Broadcast and Sound Engineering Technicians and Media Equipment Workers</t>
  </si>
  <si>
    <t>Photographers</t>
  </si>
  <si>
    <t>Television, Video, and Motion Picture Camera Operators and Editors</t>
  </si>
  <si>
    <t>Chiropractors</t>
  </si>
  <si>
    <t>Dentists</t>
  </si>
  <si>
    <t>Dieticians and Nutritionists</t>
  </si>
  <si>
    <t>Optometrists</t>
  </si>
  <si>
    <t>Pharmacists</t>
  </si>
  <si>
    <t>Physicians and Surgeons</t>
  </si>
  <si>
    <t>Physician Assistants</t>
  </si>
  <si>
    <t>Podiatrists</t>
  </si>
  <si>
    <t>Registered Nurses</t>
  </si>
  <si>
    <t>Audiologists</t>
  </si>
  <si>
    <t>Occupational Therapists</t>
  </si>
  <si>
    <t>Physical Therapists</t>
  </si>
  <si>
    <t>Radiation Therapists</t>
  </si>
  <si>
    <t>Recreational Therapists</t>
  </si>
  <si>
    <t>Respiratory Therapists</t>
  </si>
  <si>
    <t>Speech Language Pathologists</t>
  </si>
  <si>
    <t>Therapists, nec</t>
  </si>
  <si>
    <t>Veterinarians</t>
  </si>
  <si>
    <t>Health Diagnosing and Treating Practitioners, nec</t>
  </si>
  <si>
    <t>Clinical Laboratory Technologists and Technicians</t>
  </si>
  <si>
    <t>Dental Hygienists</t>
  </si>
  <si>
    <t>Diagnostic Related Technologists and Technicians</t>
  </si>
  <si>
    <t>Emergency Medical Technicians and Paramedics</t>
  </si>
  <si>
    <t>Health Diagnosing and Treating Practitioner Support Technicians</t>
  </si>
  <si>
    <t>Licensed Practical and Licensed Vocational Nurses</t>
  </si>
  <si>
    <t>Medical Records and Health Information Technicians</t>
  </si>
  <si>
    <t>Opticians, Dispensing</t>
  </si>
  <si>
    <t>Health Technologists and Technicians, nec</t>
  </si>
  <si>
    <t>Healthcare Practitioners and Technical Occupations, nec</t>
  </si>
  <si>
    <t>Nursing, Psychiatric, and Home Health Aides</t>
  </si>
  <si>
    <t>Occupational Therapy Assistants and Aides</t>
  </si>
  <si>
    <t>Physical Therapist Assistants and Aides</t>
  </si>
  <si>
    <t>Massage Therapists</t>
  </si>
  <si>
    <t>Dental Assistants</t>
  </si>
  <si>
    <t>Medical Assistants</t>
  </si>
  <si>
    <t>First-Line Supervisors of Correctional Officers</t>
  </si>
  <si>
    <t>First-Line Supervisors of Police and Detectives</t>
  </si>
  <si>
    <t>First-Line Supervisors of Fire Fighting and Prevention Workers</t>
  </si>
  <si>
    <t>Supervisors, Protective Service Workers, All Other</t>
  </si>
  <si>
    <t>Firefighters</t>
  </si>
  <si>
    <t>Fire Inspectors</t>
  </si>
  <si>
    <t>Sheriffs, Bailiffs, Correctional Officers, and Jailers</t>
  </si>
  <si>
    <t>Police Officers and Detectives</t>
  </si>
  <si>
    <t>Animal Control</t>
  </si>
  <si>
    <t>Private Detectives and Investigators</t>
  </si>
  <si>
    <t>Security Guards and Gaming Surveillance Officers</t>
  </si>
  <si>
    <t>Crossing Guards</t>
  </si>
  <si>
    <t>Law enforcement workers, nec</t>
  </si>
  <si>
    <t>Chefs and Cooks</t>
  </si>
  <si>
    <t>First-Line Supervisors of Food Preparation and Serving Workers</t>
  </si>
  <si>
    <t>Food Preparation Workers</t>
  </si>
  <si>
    <t>Bartenders</t>
  </si>
  <si>
    <t>Combined Food Preparation and Serving Workers, Including Fast Food</t>
  </si>
  <si>
    <t>Counter Attendant, Cafeteria, Food Concession, and Coffee Shop</t>
  </si>
  <si>
    <t>Waiters and Waitresses</t>
  </si>
  <si>
    <t>Food Servers, Nonrestaurant</t>
  </si>
  <si>
    <t>Food preparation and serving related workers, nec</t>
  </si>
  <si>
    <t>Dishwashers</t>
  </si>
  <si>
    <t>Host and Hostesses, Restaurant, Lounge, and Coffee Shop</t>
  </si>
  <si>
    <t>First-Line Supervisors of Housekeeping and Janitorial Workers</t>
  </si>
  <si>
    <t>First-Line Supervisors of Landscaping, Lawn Service, and Groundskeeping Workers</t>
  </si>
  <si>
    <t>Janitors and Building Cleaners</t>
  </si>
  <si>
    <t>Maids and Housekeeping Cleaners</t>
  </si>
  <si>
    <t>Pest Control Workers</t>
  </si>
  <si>
    <t>Grounds Maintenance Workers</t>
  </si>
  <si>
    <t>First-Line Supervisors of Gaming Workers</t>
  </si>
  <si>
    <t>First-Line Supervisors of Personal Service Workers</t>
  </si>
  <si>
    <t>Animal Trainers</t>
  </si>
  <si>
    <t>Nonfarm Animal Caretakers</t>
  </si>
  <si>
    <t>Gaming Services Workers</t>
  </si>
  <si>
    <t>Ushers, Lobby Attendants, and Ticket Takers</t>
  </si>
  <si>
    <t>Entertainment Attendants and Related Workers, nec</t>
  </si>
  <si>
    <t>Funeral Service Workers and Embalmers</t>
  </si>
  <si>
    <t>Barbers</t>
  </si>
  <si>
    <t>Hairdressers, Hairstylists, and Cosmetologists</t>
  </si>
  <si>
    <t>Personal Appearance Workers, nec</t>
  </si>
  <si>
    <t>Baggage Porters, Bellhops, and Concierges</t>
  </si>
  <si>
    <t>Tour and Travel Guides</t>
  </si>
  <si>
    <t>Childcare Workers</t>
  </si>
  <si>
    <t>Personal Care Aides</t>
  </si>
  <si>
    <t>Recreation and Fitness Workers</t>
  </si>
  <si>
    <t>Residential Advisors</t>
  </si>
  <si>
    <t>Personal Care and Service Workers, All Other</t>
  </si>
  <si>
    <t>First-Line Supervisors of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</si>
  <si>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</si>
  <si>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</si>
  <si>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</si>
  <si>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</si>
  <si>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</si>
  <si>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</si>
  <si>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</si>
  <si>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</si>
  <si>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Services, All Other</t>
  </si>
  <si>
    <t>Sales Representatives, Wholesale and Manufacturing</t>
  </si>
  <si>
    <t>Models, Demonstrators, and Product Promoters</t>
  </si>
  <si>
    <t>Real Estate Brokers and Sales Agents</t>
  </si>
  <si>
    <t>Sales Engineers</t>
  </si>
  <si>
    <t>Telemarketers</t>
  </si>
  <si>
    <t>Door-to-Door Sales Workers, News and Street Vendors</t>
  </si>
  <si>
    <t>Sales and Related Workers, All Other</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</si>
  <si>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</si>
  <si>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</si>
  <si>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</si>
  <si>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</si>
  <si>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</si>
  <si>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</si>
  <si>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</si>
  <si>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Gaming Cage Workers</t>
  </si>
  <si>
    <t>Payroll and Timekeeping Clerks</t>
  </si>
  <si>
    <t>Procurement Clerks</t>
  </si>
  <si>
    <t>Bank Tellers</t>
  </si>
  <si>
    <t>Financial Clerks, nec</t>
  </si>
  <si>
    <t>Brokerage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</si>
  <si>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</si>
  <si>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</si>
  <si>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</si>
  <si>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</si>
  <si>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</si>
  <si>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</si>
  <si>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</si>
  <si>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</si>
  <si>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</si>
  <si>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 Clerks</t>
  </si>
  <si>
    <t>Correspondent clerks and 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</si>
  <si>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</si>
  <si>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</si>
  <si>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</si>
  <si>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</si>
  <si>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</si>
  <si>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</si>
  <si>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Dispatchers</t>
  </si>
  <si>
    <t>Meter Readers, Utilities</t>
  </si>
  <si>
    <t>Postal Service Clerks</t>
  </si>
  <si>
    <t>Postal Service Mail Carriers</t>
  </si>
  <si>
    <t>Postal Service Mail Sorters, Processors, and Machine Operators</t>
  </si>
  <si>
    <t>Production, Planning, and Expediting Clerks</t>
  </si>
  <si>
    <t>Shipping, Receiving, and Traffic Clerks</t>
  </si>
  <si>
    <t>Stock Clerks and Order Fillers</t>
  </si>
  <si>
    <t>Weighers, Measurers, Checkers, and Samplers, Recordkeeping</t>
  </si>
  <si>
    <t>Secretaries and Administrative Assistants</t>
  </si>
  <si>
    <t>Computer Operators</t>
  </si>
  <si>
    <t>Data Entry Keyers</t>
  </si>
  <si>
    <t>Word Processors and Typists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</si>
  <si>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</si>
  <si>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</si>
  <si>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</si>
  <si>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</si>
  <si>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</si>
  <si>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</si>
  <si>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nec</t>
  </si>
  <si>
    <t>First-Line Supervisors of Farming, Fishing, and Forestry Workers</t>
  </si>
  <si>
    <t>Agricultural Inspectors</t>
  </si>
  <si>
    <t>Graders and Sorters, Agricultural Products</t>
  </si>
  <si>
    <t>Agricultural workers, nec</t>
  </si>
  <si>
    <t>Fishing and hunting workers</t>
  </si>
  <si>
    <t>Forest and Conservation Workers</t>
  </si>
  <si>
    <t>Logging Workers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</si>
  <si>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</si>
  <si>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</si>
  <si>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</si>
  <si>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</si>
  <si>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</si>
  <si>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</si>
  <si>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</si>
  <si>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Paving, Surfacing, and Tamping Equipment Operators</t>
  </si>
  <si>
    <t>Construction equipment operators (except paving/surfacing)</t>
  </si>
  <si>
    <t>Drywall Installers, Ceiling Tile Installers, and Tapers</t>
  </si>
  <si>
    <t>Electricians</t>
  </si>
  <si>
    <t>Glaziers</t>
  </si>
  <si>
    <t>Insulation Workers</t>
  </si>
  <si>
    <t>Painters, Construction and Maintenance</t>
  </si>
  <si>
    <t>Paperhangers</t>
  </si>
  <si>
    <t>Pipelayers, Plumbers, Pipefitters, and Steamfitters</t>
  </si>
  <si>
    <t>Plasterers and Stucco Masons</t>
  </si>
  <si>
    <t>Reinforcing Iron and Rebar Workers</t>
  </si>
  <si>
    <t>Roofers</t>
  </si>
  <si>
    <t>Sheet Metal Workers, metal-working</t>
  </si>
  <si>
    <t>Structural Iron and Steel Workers</t>
  </si>
  <si>
    <t>Helpers, Construction Trades</t>
  </si>
  <si>
    <t>Construction and Building Inspectors</t>
  </si>
  <si>
    <t>Elevator Installers and Repairers</t>
  </si>
  <si>
    <t>Fence Erectors</t>
  </si>
  <si>
    <t>Hazardous Materials Removal Workers</t>
  </si>
  <si>
    <t>Highway Maintenance Workers</t>
  </si>
  <si>
    <t>Rail-Track Laying and Maintenance Equipment Operators</t>
  </si>
  <si>
    <t>Construction workers, nec</t>
  </si>
  <si>
    <t>Derrick, rotary drill, and service unit operators, and roustabouts</t>
  </si>
  <si>
    <t>Earth Drillers, Except Oil and Gas</t>
  </si>
  <si>
    <t>Explosives Workers, Ordnance Handling Experts, and Blasters</t>
  </si>
  <si>
    <t>Mining Machine Operators</t>
  </si>
  <si>
    <t>Extraction workers, nec</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</si>
  <si>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</si>
  <si>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</si>
  <si>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</si>
  <si>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</si>
  <si>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</si>
  <si>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repairers, transportation and utility</t>
  </si>
  <si>
    <t>Electronic Equipment Installers and Repairers, Motor Vehicles</t>
  </si>
  <si>
    <t>Electronic Home Entertainment Equipment Installers and Repairers</t>
  </si>
  <si>
    <t>Electronic Repairs, nec</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</si>
  <si>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</si>
  <si>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</si>
  <si>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</si>
  <si>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</si>
  <si>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</si>
  <si>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</si>
  <si>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</si>
  <si>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</si>
  <si>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Vehicle and Mobile Equipment Mechanics, Installers, and Repairers, nec</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</si>
  <si>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</si>
  <si>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</si>
  <si>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</si>
  <si>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</si>
  <si>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</si>
  <si>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</si>
  <si>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</si>
  <si>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</si>
  <si>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</si>
  <si>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</si>
  <si>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Coin, Vending, and Amusement Machine Servicers and Repairers</t>
  </si>
  <si>
    <t>Locksmiths and Safe Repairers</t>
  </si>
  <si>
    <t>Manufactured Building and Mobile Home Installers</t>
  </si>
  <si>
    <t>Riggers</t>
  </si>
  <si>
    <t>Helpers—Installation, Maintenance, and Repair Workers</t>
  </si>
  <si>
    <t>Other Installation, Maintenance, and Repair Workers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</si>
  <si>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</si>
  <si>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</si>
  <si>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</si>
  <si>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</si>
  <si>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</si>
  <si>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Assemblers and Fabricators, nec</t>
  </si>
  <si>
    <t>Bakers</t>
  </si>
  <si>
    <t>Butchers and Other Meat, Poultry, and Fish Processing Workers</t>
  </si>
  <si>
    <t>Food and Tobacco Roasting, Baking, and Drying Machine Operators</t>
  </si>
  <si>
    <t>Food Batchmakers</t>
  </si>
  <si>
    <t>Food Cooking Machine Operators and Tenders</t>
  </si>
  <si>
    <t>Food Processing, nec</t>
  </si>
  <si>
    <t>Computer Control Programmers and Operators</t>
  </si>
  <si>
    <t>Extruding and Drawing Machine Setters, Operators, and Tenders</t>
  </si>
  <si>
    <t>Forging Machine Setters, Operators, and Tenders</t>
  </si>
  <si>
    <t>Rolling Machine Setters, Operators, and Tenders</t>
  </si>
  <si>
    <t>Cutting, Punching, and Press Machine Setters, Operators, and Tenders</t>
  </si>
  <si>
    <t>Drilling and Boring Machine Tool Setters, Operators, and Tenders</t>
  </si>
  <si>
    <t>Grinding, Lapping, Polishing, and Buffing Machine Tool Setters</t>
  </si>
  <si>
    <t>Lathe and Turning Machine Tool Setters, Operators, and Tenders</t>
  </si>
  <si>
    <t>Machinists</t>
  </si>
  <si>
    <t>Metal Furnace Operators, Tenders, Pourers, and Casters</t>
  </si>
  <si>
    <t>Model Makers and Patternmakers, Metal and Plastic</t>
  </si>
  <si>
    <t>Molders and Molding Machine Setters, Operators, and Tenders</t>
  </si>
  <si>
    <t>Tool and Die Makers</t>
  </si>
  <si>
    <t>Welding, Soldering, and Brazing Workers</t>
  </si>
  <si>
    <t>Heat Treating Equipment Setters, Operators, and Tenders</t>
  </si>
  <si>
    <t>Plating and Coating Machine Setters, Operators, and Tenders</t>
  </si>
  <si>
    <t>Tool Grinders, Filers, and Sharpeners</t>
  </si>
  <si>
    <t>Metal workers and plastic workers, nec</t>
  </si>
  <si>
    <t>Bookbinders, Printing Machine Operators, and Job Printers</t>
  </si>
  <si>
    <t>Prepress Technicians and Workers</t>
  </si>
  <si>
    <t>Laundry and Dry-Cleaning Workers</t>
  </si>
  <si>
    <t>Pressers, Textile, Garment, and Related Materials</t>
  </si>
  <si>
    <t>Sewing Machine Operators</t>
  </si>
  <si>
    <t>Shoe and Leather Workers and Repairers</t>
  </si>
  <si>
    <t>Shoe Machine Operators and Tenders</t>
  </si>
  <si>
    <t>Tailors, Dressmakers, and Sewers</t>
  </si>
  <si>
    <t>Textile bleaching and dyeing, and cutting machine operators</t>
  </si>
  <si>
    <t>Textile Knitting and Weaving Machine Operators</t>
  </si>
  <si>
    <t>Textile Winding, Twisting, and Drawing Out Machine Operators</t>
  </si>
  <si>
    <t>Upholsterers</t>
  </si>
  <si>
    <t>Textile, Apparel, and Furnishings workers, nec</t>
  </si>
  <si>
    <t>Cabinetmakers and Bench Carpenters</t>
  </si>
  <si>
    <t>Furniture Finishers</t>
  </si>
  <si>
    <t>Sawing Machine Setters, Operators, and Tenders, Wood</t>
  </si>
  <si>
    <t>Woodworking Machine Operators, Except Sawing</t>
  </si>
  <si>
    <t>Woodworkers including model makers and patternmakers, nec</t>
  </si>
  <si>
    <t>Power Plant Operators, Distributors, and Dispatchers</t>
  </si>
  <si>
    <t>Stationary Engineers and Boiler Operators</t>
  </si>
  <si>
    <t>Water Wastewater Treatment Plant and System Operators</t>
  </si>
  <si>
    <t>Plant and System Operators, nec</t>
  </si>
  <si>
    <t>Chemical Processing Machine Setters, Operators, and Tenders</t>
  </si>
  <si>
    <t>Crushing, Grinding, Polishing, Mixing, and Blending Workers</t>
  </si>
  <si>
    <t>Cutting Workers</t>
  </si>
  <si>
    <t>Extruding, Forming, Pressing, and Compacting Machine Operators</t>
  </si>
  <si>
    <t>Furnace, Kiln, Oven, Drier, and Kettle Operators and Tenders</t>
  </si>
  <si>
    <t>Inspectors, Testers, Sorters, Samplers, and Weighers</t>
  </si>
  <si>
    <t>Jewelers and Precious Stone and Metal Workers</t>
  </si>
  <si>
    <t>Medical, Dental, and Ophthalmic Laboratory Technicians</t>
  </si>
  <si>
    <t>Packaging and Filling Machine Operators and Tenders</t>
  </si>
  <si>
    <t>Painting Workers and Dyers</t>
  </si>
  <si>
    <t>Photographic Process Workers and Processing Machine Operators</t>
  </si>
  <si>
    <t>Adhesive Bonding Machine Operators and Tenders</t>
  </si>
  <si>
    <t>Cleaning, Washing, and Metal Pickling Equipment Operators</t>
  </si>
  <si>
    <t>Etchers, Engravers, and Lithographers</t>
  </si>
  <si>
    <t>Molders, Shapers, and Casters, Except Metal and Plastic</t>
  </si>
  <si>
    <t>Paper Goods Machine Setters, Operators, and Tenders</t>
  </si>
  <si>
    <t>Tire Builders</t>
  </si>
  <si>
    <t>Helpers—Production Workers</t>
  </si>
  <si>
    <t>Other production workers (semiconductors, etc.)</t>
  </si>
  <si>
    <t>Supervisors of Transportation and Material Moving Workers</t>
  </si>
  <si>
    <t>Aircraft Pilots and Flight Engineers</t>
  </si>
  <si>
    <t>Air Traffic Controllers and Airfield Operations Specialists</t>
  </si>
  <si>
    <t>Flight Attendants and Transportation Workers</t>
  </si>
  <si>
    <t>Bus and Ambulance Drivers and Attendants</t>
  </si>
  <si>
    <t>Driver/Sales Workers and Truck Drivers</t>
  </si>
  <si>
    <t>Taxi Drivers and Chauffeurs</t>
  </si>
  <si>
    <t>Motor Vehicle Operators, All Other</t>
  </si>
  <si>
    <t>Locomotive Engineers and Operators</t>
  </si>
  <si>
    <t>Railroad Brake, Signal, and Switch Operators</t>
  </si>
  <si>
    <t>Railroad Conductors and Yardmasters</t>
  </si>
  <si>
    <t>Subway, Streetcar, and Other Rail Transportation Workers</t>
  </si>
  <si>
    <t>Sailors and marine oilers, and ship engineers</t>
  </si>
  <si>
    <t>Ship and Boat Captains and Operators</t>
  </si>
  <si>
    <t>Parking Lot Attendants</t>
  </si>
  <si>
    <t>Automotive and Watercraft Service Attendants</t>
  </si>
  <si>
    <t>Transportation Inspectors</t>
  </si>
  <si>
    <t>Transportation workers, nec</t>
  </si>
  <si>
    <t>Crane and Tower Operators</t>
  </si>
  <si>
    <t>Dredge, Excavating, and Loading Machine Operators</t>
  </si>
  <si>
    <t>Conveyor operators and tenders, and hoist and winch operators</t>
  </si>
  <si>
    <t>Industrial Truck and Tractor Operators</t>
  </si>
  <si>
    <t>Cleaners of Vehicles and Equipment</t>
  </si>
  <si>
    <t>Laborers and Freight, Stock, and Material Movers, Hand</t>
  </si>
  <si>
    <t>Machine Feeders and Offbearers</t>
  </si>
  <si>
    <t>Packers and Packagers, Hand</t>
  </si>
  <si>
    <t>Pumping Station Operators</t>
  </si>
  <si>
    <t>Refuse and Recyclable Material Collectors</t>
  </si>
  <si>
    <t>Material moving workers, nec</t>
  </si>
  <si>
    <t>Military Officer Special and Tactical Operations Leaders</t>
  </si>
  <si>
    <t>First-Line Enlisted Military Supervisors</t>
  </si>
  <si>
    <t>Military Enlisted Tactical Operations and Air/Weapons Specialists</t>
  </si>
  <si>
    <t>Military, Rank Not Specified</t>
  </si>
  <si>
    <t>Unemployed, No Work Experience (5+ years or never)</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</si>
</sst>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ptos Narrow"/>
      <scheme val="minor"/>
    </font>
    <font>
      <b/>
      <sz val="14.0"/>
      <color rgb="FF000000"/>
      <name val="Aptos Narrow"/>
    </font>
    <font>
      <sz val="14.0"/>
      <color theme="1"/>
      <name val="Aptos Narrow"/>
    </font>
    <font>
      <sz val="12.0"/>
      <color rgb="FF000000"/>
      <name val="Aptos Narrow"/>
    </font>
    <font>
      <b/>
      <i/>
      <sz val="13.0"/>
      <color rgb="FF000000"/>
      <name val="Aptos Narrow"/>
    </font>
    <font>
      <color theme="1"/>
      <name val="Aptos Narrow"/>
      <scheme val="minor"/>
    </font>
    <font>
      <b/>
      <i/>
      <sz val="13.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0" xfId="0" applyFont="1"/>
    <xf borderId="0" fillId="0" fontId="6" numFmtId="0" xfId="0" applyFont="1"/>
  </cellXfs>
  <cellStyles count="1">
    <cellStyle xfId="0" name="Normal" builtinId="0"/>
  </cellStyles>
  <dxfs count="2">
    <dxf>
      <font>
        <color rgb="FF9C0006"/>
      </font>
      <fill>
        <patternFill patternType="solid">
          <fgColor rgb="FFFFC7CE"/>
          <bgColor rgb="FFFFC7CE"/>
        </patternFill>
      </fill>
      <border/>
    </dxf>
    <dxf>
      <font>
        <color rgb="FF006100"/>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6C7AA"/>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100.78"/>
    <col customWidth="1" min="3" max="3" width="25.78"/>
    <col customWidth="1" min="4" max="4" width="10.78"/>
    <col customWidth="1" min="5" max="5" width="8.33"/>
    <col customWidth="1" min="6" max="6" width="25.78"/>
    <col customWidth="1" min="7" max="26" width="15.33"/>
  </cols>
  <sheetData>
    <row r="1" ht="18.75" customHeight="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ht="18.75" customHeight="1">
      <c r="A2" s="3">
        <v>10.0</v>
      </c>
      <c r="B2" s="3" t="s">
        <v>4</v>
      </c>
      <c r="C2" s="3" t="s">
        <v>5</v>
      </c>
      <c r="D2" s="3" t="s">
        <v>6</v>
      </c>
      <c r="F2" s="1" t="s">
        <v>7</v>
      </c>
    </row>
    <row r="3" ht="18.75" customHeight="1">
      <c r="A3" s="3">
        <v>20.0</v>
      </c>
      <c r="B3" s="3" t="s">
        <v>8</v>
      </c>
      <c r="C3" s="3" t="s">
        <v>5</v>
      </c>
      <c r="D3" s="3" t="s">
        <v>6</v>
      </c>
      <c r="F3" s="4" t="s">
        <v>5</v>
      </c>
      <c r="G3" s="5" t="str">
        <f>IFERROR(__xludf.DUMMYFUNCTION("TEXTJOIN("", "", TRUE, FILTER(A:A, C:C = F3))"),"10, 20, 30, 100, 110, 120, 130, 140, 150, 160, 220, 300, 310, 330, 410, 500, 510, 520, 530, 540, 600, 620, 700, 710, 720, 730, 800, 810, 820, 830, 840, 850, 860, 900, 910, 940, 950, 1000, 1010, 1020, 1050, 1060, 1100, 1200, 1300, 1310, 1320, 1350, 1360, 1"&amp;"400, 1410, 1430, 1440, 1450, 1460, 1520, 1530, 1540, 1550, 1560, 1800, 1830, 1930, 2600, 2630, 2700, 2720, 2740, 2750, 2760, 2800, 2810, 2825, 2840, 2850, 2860, 2900, 2910, 2920, 4000, 4010, 4030, 4040, 4050, 4060, 4110, 4120, 4130, 4140, 4150, 4200, 4210"&amp;", 4220, 4230, 4240, 4250, 4300, 4320, 4340, 4350, 4400, 4420, 4430, 4460, 4500, 4510, 4520, 4530, 4540, 4600, 4610, 4620, 4640, 4650, 4700, 4720, 4740, 4750, 4760, 4800, 4810, 4820, 4830, 4840, 4850, 4900, 4920, 4930, 4940, 4950, 4965, 5000, 5010, 5020, 5"&amp;"030, 5100, 5110, 5120, 5130, 5140, 5150, 5160, 5165, 5200, 5230, 5240, 5260, 5300, 5310, 5320, 5330, 5340, 5350, 5360, 5400, 5410, 5420, 5500, 5510, 5520, 5530, 5600, 5610, 5620, 5630, 5700, 5800, 5810, 5820, 5840, 5850, 5860, 5900, 5910, 5940, 6005, 6040"&amp;", 6050, 6100, 6130, 6200, 6210, 6220, 6230, 6240, 6250, 6260, 6300, 6320, 6330, 6355, 6360, 6400, 6420, 6430, 6440, 6460, 6500, 6515, 6520, 6530, 6600, 6660, 6700, 6710, 6720, 6765, 6800, 6820, 6830, 6840, 6940, 7000, 7010, 7020, 7030, 7040, 7100, 7110, 7"&amp;"120, 7125, 7130, 7140, 7150, 7160, 7200, 7210, 7220, 7240, 7260, 7300, 7315, 7320, 7330, 7340, 7350, 7360, 7410, 7420, 7430, 7510, 7540, 7550, 7560, 7610, 7630, 7700, 7710, 7720, 7730, 7740, 7750, 7800, 7810, 7830, 7840, 7850, 7855, 7900, 7920, 7930, 7940"&amp;", 7950, 7960, 8000, 8010, 8030, 8040, 8060, 8100, 8130, 8140, 8150, 8200, 8210, 8220, 8230, 8250, 8300, 8310, 8320, 8330, 8340, 8350, 8400, 8410, 8420, 8450, 8460, 8500, 8510, 8530, 8540, 8550, 8600, 8610, 8630, 8640, 8650, 8710, 8720, 8730, 8740, 8750, 8"&amp;"800, 8810, 8830, 8850, 8860, 8910, 8920, 8930, 8940, 8950, 8965, 9000, 9030, 9050, 9130, 9140, 9150, 9200, 9230, 9240, 9300, 9310, 9350, 9360, 9420, 9510, 9520, 9560, 9600, 9610, 9620, 9630, 9640, 9650, 9750")</f>
        <v>10, 20, 30, 100, 110, 120, 130, 140, 150, 160, 220, 300, 310, 330, 410, 500, 510, 520, 530, 540, 600, 620, 700, 710, 720, 730, 800, 810, 820, 830, 840, 850, 860, 900, 910, 940, 950, 1000, 1010, 1020, 1050, 1060, 1100, 1200, 1300, 1310, 1320, 1350, 1360, 1400, 1410, 1430, 1440, 1450, 1460, 1520, 1530, 1540, 1550, 1560, 1800, 1830, 1930, 2600, 2630, 2700, 2720, 2740, 2750, 2760, 2800, 2810, 2825, 2840, 2850, 2860, 2900, 2910, 2920, 4000, 4010, 4030, 4040, 4050, 4060, 4110, 4120, 4130, 4140, 4150, 4200, 4210, 4220, 4230, 4240, 4250, 4300, 4320, 4340, 4350, 4400, 4420, 4430, 4460, 4500, 4510, 4520, 4530, 4540, 4600, 4610, 4620, 4640, 4650, 4700, 4720, 4740, 4750, 4760, 4800, 4810, 4820, 4830, 4840, 4850, 4900, 4920, 4930, 4940, 4950, 4965, 5000, 5010, 5020, 5030, 5100, 5110, 5120, 5130, 5140, 5150, 5160, 5165, 5200, 5230, 5240, 5260, 5300, 5310, 5320, 5330, 5340, 5350, 5360, 5400, 5410, 5420, 5500, 5510, 5520, 5530, 5600, 5610, 5620, 5630, 5700, 5800, 5810, 5820, 5840, 5850, 5860, 5900, 5910, 5940, 6005, 6040, 6050, 6100, 6130, 6200, 6210, 6220, 6230, 6240, 6250, 6260, 6300, 6320, 6330, 6355, 6360, 6400, 6420, 6430, 6440, 6460, 6500, 6515, 6520, 6530, 6600, 6660, 6700, 6710, 6720, 6765, 6800, 6820, 6830, 6840, 6940, 7000, 7010, 7020, 7030, 7040, 7100, 7110, 7120, 7125, 7130, 7140, 7150, 7160, 7200, 7210, 7220, 7240, 7260, 7300, 7315, 7320, 7330, 7340, 7350, 7360, 7410, 7420, 7430, 7510, 7540, 7550, 7560, 7610, 7630, 7700, 7710, 7720, 7730, 7740, 7750, 7800, 7810, 7830, 7840, 7850, 7855, 7900, 7920, 7930, 7940, 7950, 7960, 8000, 8010, 8030, 8040, 8060, 8100, 8130, 8140, 8150, 8200, 8210, 8220, 8230, 8250, 8300, 8310, 8320, 8330, 8340, 8350, 8400, 8410, 8420, 8450, 8460, 8500, 8510, 8530, 8540, 8550, 8600, 8610, 8630, 8640, 8650, 8710, 8720, 8730, 8740, 8750, 8800, 8810, 8830, 8850, 8860, 8910, 8920, 8930, 8940, 8950, 8965, 9000, 9030, 9050, 9130, 9140, 9150, 9200, 9230, 9240, 9300, 9310, 9350, 9360, 9420, 9510, 9520, 9560, 9600, 9610, 9620, 9630, 9640, 9650, 9750</v>
      </c>
    </row>
    <row r="4" ht="18.75" customHeight="1">
      <c r="A4" s="3">
        <v>30.0</v>
      </c>
      <c r="B4" s="3" t="s">
        <v>9</v>
      </c>
      <c r="C4" s="3" t="s">
        <v>5</v>
      </c>
      <c r="D4" s="3" t="s">
        <v>6</v>
      </c>
      <c r="F4" s="6"/>
      <c r="G4" s="5" t="str">
        <f>IFERROR(__xludf.DUMMYFUNCTION("TEXTJOIN("", "", TRUE, FILTER(B:B, C:C = F3))"),"Chief executives and legislators/public administration, General and Operations Managers, Managers in Marketing, Advertising, and Public Relations, Administrative Services Managers, Computer and Information Systems Managers, Financial Managers, Human Resou"&amp;"rces Managers, Industrial Production Managers, Purchasing Managers, Transportation, Storage, and Distribution Managers, Constructions Managers, Architectural and Engineering Managers, Food Service and Lodging Managers, Gaming Managers, Property, Real Esta"&amp;"te, and Community Association Managers, Agents and Business Managers of Artists, Performers, and Athletes, Buyers and Purchasing Agents, Farm Products, Wholesale and Retail Buyers, Except Farm Products, Purchasing Agents, Except Wholesale, Retail, and Far"&amp;"m Products, Claims Adjusters, Appraisers, Examiners, and Investigators, Cost Estimators, Human Resources, Training, and Labor Relations Specialists, Logisticians, Management Analysts, Meeting and Convention Planners, Other Business Operations and Manageme"&amp;"nt Specialists, Accountants and Auditors, Appraisers and Assessors of Real Estate, Budget Analysts, Credit Analysts, Financial Analysts, Personal Financial Advisors, Insurance Underwriters, Financial Examiners, Credit Counselors and Loan Officers, Tax Pre"&amp;"parers, Financial Specialists, nec, Computer Scientists and Systems Analysts, Computer Programmers, Software Developers, Computer Support Specialists, Database Administrators, Network and Computer Systems Administrators, Actuaries, Architects, Except Nava"&amp;"l, Surveyors, Cartographers, and Photogrammetrists, Aerospace Engineers, Chemical Engineers, Civil Engineers, Computer Hardware Engineers, Electrical and Electronics Engineers, Industrial Engineers, including Health and Safety, Marine Engineers and Naval "&amp;"Architects, Materials Engineers, Mechanical Engineers, Petroleum, Mining, and Geological Engineers, Engineers, nec, Drafters, Engineering Technicians, Except Drafters, Surveying and Mapping Technicians, Economists and market researchers, Urban and Regiona"&amp;"l Planners, Geological and Petroleum Technicians, and Nuclear Technicians, Artists and Related Workers, Designers, Actors, Producers, and Directors, Athletes, Coaches, Umpires, and Related Workers, Dancers and Choreographers, Musicians, Singers, and Relat"&amp;"ed Workers, Entertainers and Performers, Sports and Related Workers, All Other, Announcers, Editors, News Analysts, Reporters, and Correspondents, Public Relations Specialists, Technical Writers, Writers and Authors, Media and Communication Workers, nec, "&amp;"Broadcast and Sound Engineering Technicians and Media Equipment Workers, Photographers, Television, Video, and Motion Picture Camera Operators and Editors, Chefs and Cooks, First-Line Supervisors of Food Preparation and Serving Workers, Food Preparation W"&amp;"orkers, Bartenders, Combined Food Preparation and Serving Workers, Including Fast Food, Counter Attendant, Cafeteria, Food Concession, and Coffee Shop, Waiters and Waitresses, Food Servers, Nonrestaurant, Food preparation and serving related workers, nec,"&amp;" Dishwashers, Host and Hostesses, Restaurant, Lounge, and Coffee Shop, First-Line Supervisors of Housekeeping and Janitorial Workers, First-Line Supervisors of Landscaping, Lawn Service, and Groundskeeping Workers, Janitors and Building Cleaners, Maids an"&amp;"d Housekeeping Cleaners, Pest Control Workers, Grounds Maintenance Workers, First-Line Supervisors of Gaming Workers, First-Line Supervisors of Personal Service Workers, Animal Trainers, Nonfarm Animal Caretakers, Gaming Services Workers, Ushers, Lobby At"&amp;"tendants, and Ticket Takers, Entertainment Attendants and Related Workers, nec, Funeral Service Workers and Embalmers, Barbers, Hairdressers, Hairstylists, and Cosmetologists, Personal Appearance Workers, nec, Baggage Porters, Bellhops, and Concierges, To"&amp;"ur and Travel Guides, Childcare Workers, Personal Care Aides, Recreation and Fitness Workers, Residential Advisors, Personal Care and Service Workers, All Other, First-Line Supervisors of Sales Workers, Cashiers, Counter and Rental Clerks, Parts Salespers"&amp;"ons, Retail Salespersons, Advertising Sales Agents, Insurance Sales Agents, Securities, Commodities, and Financial Services Sales Agents, Travel Agents, Sales Representatives, Services, All Other, Sales Representatives, Wholesale and Manufacturing, Models"&amp;", Demonstrators, and Product Promoters, Real Estate Brokers and Sales Agents, Sales Engineers, Telemarketers, Door-to-Door Sales Workers, News and Street Vendors, Sales and Related Workers, All Other, First-Line Supervisors of Office and Administrative Su"&amp;"pport Workers, Switchboard Operators, Including Answering Service, Telephone Operators, Communications Equipment Operators, All Other, Bill and Account Collectors, Billing and Posting Clerks, Bookkeeping, Accounting, and Auditing Clerks, Gaming Cage Worke"&amp;"rs, Payroll and Timekeeping Clerks, Procurement Clerks, Bank Tellers, Financial Clerks, nec, Brokerage Clerks, Credit Authorizers, Checkers, and Clerks, Customer Service Representatives, File Clerks, Hotel, Motel, and Resort Desk Clerks, Interviewers, Exc"&amp;"ept Eligibility and Loan, Library Assistants, Clerical, Loan Interviewers and Clerks, New Account Clerks, Correspondent clerks and order clerks, Human Resources Assistants, Except Payroll and Timekeeping, Receptionists and Information Clerks, Reservation "&amp;"and Transportation Ticket Agents and Travel Clerks, Information and Record Clerks, All Other, Cargo and Freight Agents, Couriers and Messengers, Dispatchers, Meter Readers, Utilities, Production, Planning, and Expediting Clerks, Shipping, Receiving, and T"&amp;"raffic Clerks, Stock Clerks and Order Fillers, Weighers, Measurers, Checkers, and Samplers, Recordkeeping, Secretaries and Administrative Assistants, Computer Operators, Data Entry Keyers, Word Processors and Typists, Insurance Claims and Policy Processin"&amp;"g Clerks, Mail Clerks and Mail Machine Operators, Except Postal Service, Office Clerks, General, Office Machine Operators, Except Computer, Proofreaders and Copy Markers, Office and administrative support workers, nec, First-Line Supervisors of Farming, F"&amp;"ishing, and Forestry Workers, Graders and Sorters, Agricultural Products, Agricultural workers, nec, Fishing and hunting workers, Logging Workers, First-Line Supervisors of Construction Trades and Extraction Workers, Boilermakers, Brickmasons, Blockmasons"&amp;", and Stonemasons, Carpenters, Carpet, Floor, and Tile Installers and Finishers, Cement Masons, Concrete Finishers, and Terrazzo Workers, Construction Laborers, Paving, Surfacing, and Tamping Equipment Operators, Construction equipment operators (except p"&amp;"aving/surfacing), Drywall Installers, Ceiling Tile Installers, and Tapers, Electricians, Glaziers, Insulation Workers, Painters, Construction and Maintenance, Paperhangers, Pipelayers, Plumbers, Pipefitters, and Steamfitters, Plasterers and Stucco Masons,"&amp;" Reinforcing Iron and Rebar Workers, Roofers, Sheet Metal Workers, metal-working, Structural Iron and Steel Workers, Helpers, Construction Trades, Construction and Building Inspectors, Elevator Installers and Repairers, Fence Erectors, Hazardous Materials"&amp;" Removal Workers, Construction workers, nec, Derrick, rotary drill, and service unit operators, and roustabouts, Earth Drillers, Except Oil and Gas, Explosives Workers, Ordnance Handling Experts, and Blasters, Mining Machine Operators, Extraction workers,"&amp;" nec, First-Line Supervisors of Mechanics, Installers, and Repairers, Computer, Automated Teller, and Office Machine Repairers, Radio and Telecommunications Equipment Installers and Repairers, Avionics Technicians, Electric Motor, Power Tool, and Related "&amp;"Repairers, Electrical and electronics repairers, transportation and utility, Electronic Equipment Installers and Repairers, Motor Vehicles, Electronic Home Entertainment Equipment Installers and Repairers, Electronic Repairs, nec, Security and Fire Alarm "&amp;"Systems Installers, Aircraft Mechanics and Service Technicians, Automotive Body and Related Repairers, Automotive Glass Installers and Repairers, Automotive Service Technicians and Mechanics, Bus and Truck Mechanics and Diesel Engine Specialists, Heavy Ve"&amp;"hicle and Mobile Equipment Service Technicians and Mechanics, Small Engine Mechanics, Vehicle and Mobile Equipment Mechanics, Installers, and Repairers, nec, Control and Valve Installers and Repairers, Heating, Air Conditioning, and Refrigeration Mechanic"&amp;"s and Installers, Home Appliance Repairers, Industrial and Refractory Machinery Mechanics, Maintenance and Repair Workers, General, Maintenance Workers, Machinery, Millwrights, Electrical Power-Line Installers and Repairers, Telecommunications Line Instal"&amp;"lers and Repairers, Precision Instrument and Equipment Repairers, Coin, Vending, and Amusement Machine Servicers and Repairers, Locksmiths and Safe Repairers, Manufactured Building and Mobile Home Installers, Riggers, Helpers—Installation, Maintenance, an"&amp;"d Repair Workers, Other Installation, Maintenance, and Repair Workers, First-Line Supervisors of Production and Operating Workers, Aircraft Structure, Surfaces, Rigging, and Systems Assemblers, Electrical, Electronics, and Electromechanical Assemblers, En"&amp;"gine and Other Machine Assemblers, Structural Metal Fabricators and Fitters, Assemblers and Fabricators, nec, Bakers, Butchers and Other Meat, Poultry, and Fish Processing Workers, Food and Tobacco Roasting, Baking, and Drying Machine Operators, Food Batc"&amp;"hmakers, Food Cooking Machine Operators and Tenders, Food Processing, nec, Computer Control Programmers and Operators, Extruding and Drawing Machine Setters, Operators, and Tenders, Forging Machine Setters, Operators, and Tenders, Rolling Machine Setters,"&amp;" Operators, and Tenders, Cutting, Punching, and Press Machine Setters, Operators, and Tenders, Drilling and Boring Machine Tool Setters, Operators, and Tenders, Grinding, Lapping, Polishing, and Buffing Machine Tool Setters, Lathe and Turning Machine Tool"&amp;" Setters, Operators, and Tenders, Machinists, Metal Furnace Operators, Tenders, Pourers, and Casters, Model Makers and Patternmakers, Metal and Plastic, Molders and Molding Machine Setters, Operators, and Tenders, Tool and Die Makers, Welding, Soldering, "&amp;"and Brazing Workers, Heat Treating Equipment Setters, Operators, and Tenders, Plating and Coating Machine Setters, Operators, and Tenders, Tool Grinders, Filers, and Sharpeners, Metal workers and plastic workers, nec, Bookbinders, Printing Machine Operato"&amp;"rs, and Job Printers, Prepress Technicians and Workers, Laundry and Dry-Cleaning Workers, Pressers, Textile, Garment, and Related Materials, Sewing Machine Operators, Shoe and Leather Workers and Repairers, Shoe Machine Operators and Tenders, Tailors, Dre"&amp;"ssmakers, and Sewers, Textile bleaching and dyeing, and cutting machine operators, Textile Knitting and Weaving Machine Operators, Textile Winding, Twisting, and Drawing Out Machine Operators, Upholsterers, Textile, Apparel, and Furnishings workers, nec, "&amp;"Cabinetmakers and Bench Carpenters, Furniture Finishers, Sawing Machine Setters, Operators, and Tenders, Wood, Woodworking Machine Operators, Except Sawing, Woodworkers including model makers and patternmakers, nec, Power Plant Operators, Distributors, an"&amp;"d Dispatchers, Stationary Engineers and Boiler Operators, Plant and System Operators, nec, Chemical Processing Machine Setters, Operators, and Tenders, Crushing, Grinding, Polishing, Mixing, and Blending Workers, Cutting Workers, Extruding, Forming, Press"&amp;"ing, and Compacting Machine Operators, Furnace, Kiln, Oven, Drier, and Kettle Operators and Tenders, Inspectors, Testers, Sorters, Samplers, and Weighers, Jewelers and Precious Stone and Metal Workers, Packaging and Filling Machine Operators and Tenders, "&amp;"Painting Workers and Dyers, Photographic Process Workers and Processing Machine Operators, Adhesive Bonding Machine Operators and Tenders, Cleaning, Washing, and Metal Pickling Equipment Operators, Etchers, Engravers, and Lithographers, Molders, Shapers, "&amp;"and Casters, Except Metal and Plastic, Paper Goods Machine Setters, Operators, and Tenders, Tire Builders, Helpers—Production Workers, Other production workers (semiconductors, etc.), Supervisors of Transportation and Material Moving Workers, Aircraft Pil"&amp;"ots and Flight Engineers, Flight Attendants and Transportation Workers, Driver/Sales Workers and Truck Drivers, Taxi Drivers and Chauffeurs, Motor Vehicle Operators, All Other, Locomotive Engineers and Operators, Railroad Brake, Signal, and Switch Operato"&amp;"rs, Railroad Conductors and Yardmasters, Sailors and marine oilers, and ship engineers, Ship and Boat Captains and Operators, Parking Lot Attendants, Automotive and Watercraft Service Attendants, Transportation workers, nec, Crane and Tower Operators, Dre"&amp;"dge, Excavating, and Loading Machine Operators, Conveyor operators and tenders, and hoist and winch operators, Industrial Truck and Tractor Operators, Cleaners of Vehicles and Equipment, Laborers and Freight, Stock, and Material Movers, Hand, Machine Feed"&amp;"ers and Offbearers, Packers and Packagers, Hand, Pumping Station Operators, Material moving workers, nec")</f>
        <v>Chief executives and legislators/public administration, General and Operations Managers, Managers in Marketing, Advertising, and Public Relations, Administrative Services Managers, Computer and Information Systems Managers, Financial Managers, Human Resources Managers, Industrial Production Managers, Purchasing Managers, Transportation, Storage, and Distribution Managers, Constructions Managers, Architectural and Engineering Managers, Food Service and Lodging Managers, Gaming Managers, Property, Real Estate, and Community Association Managers, Agents and Business Managers of Artists, Performers, and Athletes, Buyers and Purchasing Agents, Farm Products, Wholesale and Retail Buyers, Except Farm Products, Purchasing Agents, Except Wholesale, Retail, and Farm Products, Claims Adjusters, Appraisers, Examiners, and Investigators, Cost Estimators, Human Resources, Training, and Labor Relations Specialists, Logisticians, Management Analysts, Meeting and Convention Planners, Other Business Operations and Management Specialists, Accountants and Auditors, Appraisers and Assessors of Real Estate, Budget Analysts, Credit Analysts, Financial Analysts, Personal Financial Advisors, Insurance Underwriters, Financial Examiners, Credit Counselors and Loan Officers, Tax Preparers, Financial Specialists, nec, Computer Scientists and Systems Analysts, Computer Programmers, Software Developers, Computer Support Specialists, Database Administrators, Network and Computer Systems Administrators, Actuaries, Architects, Except Naval, Surveyors, Cartographers, and Photogrammetrists, Aerospace Engineers, Chemical Engineers, Civil Engineers, Computer Hardware Engineers, Electrical and Electronics Engineers, Industrial Engineers, including Health and Safety, Marine Engineers and Naval Architects, Materials Engineers, Mechanical Engineers, Petroleum, Mining, and Geological Engineers, Engineers, nec, Drafters, Engineering Technicians, Except Drafters, Surveying and Mapping Technicians, Economists and market researchers, Urban and Regional Planners, Geological and Petroleum Technicians, and Nuclear Technicians, Artists and Related Workers, Designers, Actors, Producers, and Directors, Athletes, Coaches, Umpires, and Related Workers, Dancers and Choreographers, Musicians, Singers, and Related Workers, Entertainers and Performers, Sports and Related Workers, All Other, Announcers, Editors, News Analysts, Reporters, and Correspondents, Public Relations Specialists, Technical Writers, Writers and Authors, Media and Communication Workers, nec, Broadcast and Sound Engineering Technicians and Media Equipment Workers, Photographers, Television, Video, and Motion Picture Camera Operators and Editors, Chefs and Cooks, First-Line Supervisors of Food Preparation and Serving Workers, Food Preparation Workers, Bartenders, Combined Food Preparation and Serving Workers, Including Fast Food, Counter Attendant, Cafeteria, Food Concession, and Coffee Shop, Waiters and Waitresses, Food Servers, Nonrestaurant, Food preparation and serving related workers, nec, Dishwashers, Host and Hostesses, Restaurant, Lounge, and Coffee Shop, First-Line Supervisors of Housekeeping and Janitorial Workers, First-Line Supervisors of Landscaping, Lawn Service, and Groundskeeping Workers, Janitors and Building Cleaners, Maids and Housekeeping Cleaners, Pest Control Workers, Grounds Maintenance Workers, First-Line Supervisors of Gaming Workers, First-Line Supervisors of Personal Service Workers, Animal Trainers, Nonfarm Animal Caretakers, Gaming Services Workers, Ushers, Lobby Attendants, and Ticket Takers, Entertainment Attendants and Related Workers, nec, Funeral Service Workers and Embalmers, Barbers, Hairdressers, Hairstylists, and Cosmetologists, Personal Appearance Workers, nec, Baggage Porters, Bellhops, and Concierges, Tour and Travel Guides, Childcare Workers, Personal Care Aides, Recreation and Fitness Workers, Residential Advisors, Personal Care and Service Workers, All Other, First-Line Supervisors of Sales Workers, Cashiers, Counter and Rental Clerks, Parts Salespersons, Retail Salespersons, Advertising Sales Agents, Insurance Sales Agents, Securities, Commodities, and Financial Services Sales Agents, Travel Agents, Sales Representatives, Services, All Other, Sales Representatives, Wholesale and Manufacturing, Models, Demonstrators, and Product Promoters, Real Estate Brokers and Sales Agents, Sales Engineers, Telemarketers, Door-to-Door Sales Workers, News and Street Vendors, Sales and Related Workers, All Other, First-Line Supervisors of Office and Administrative Support Workers, Switchboard Operators, Including Answering Service, Telephone Operators, Communications Equipment Operators, All Other, Bill and Account Collectors, Billing and Posting Clerks, Bookkeeping, Accounting, and Auditing Clerks, Gaming Cage Workers, Payroll and Timekeeping Clerks, Procurement Clerks, Bank Tellers, Financial Clerks, nec, Brokerage Clerks, Credit Authorizers, Checkers, and Clerks, Customer Service Representatives, File Clerks, Hotel, Motel, and Resort Desk Clerks, Interviewers, Except Eligibility and Loan, Library Assistants, Clerical, Loan Interviewers and Clerks, New Account Clerks, Correspondent clerks and order clerks, Human Resources Assistants, Except Payroll and Timekeeping, Receptionists and Information Clerks, Reservation and Transportation Ticket Agents and Travel Clerks, Information and Record Clerks, All Other, Cargo and Freight Agents, Couriers and Messengers, Dispatchers, Meter Readers, Utilities, Production, Planning, and Expediting Clerks, Shipping, Receiving, and Traffic Clerks, Stock Clerks and Order Fillers, Weighers, Measurers, Checkers, and Samplers, Recordkeeping, Secretaries and Administrative Assistants, Computer Operators, Data Entry Keyers, Word Processors and Typists, Insurance Claims and Policy Processing Clerks, Mail Clerks and Mail Machine Operators, Except Postal Service, Office Clerks, General, Office Machine Operators, Except Computer, Proofreaders and Copy Markers, Office and administrative support workers, nec, First-Line Supervisors of Farming, Fishing, and Forestry Workers, Graders and Sorters, Agricultural Products, Agricultural workers, nec, Fishing and hunting workers, Logging Workers, First-Line Supervisors of Construction Trades and Extraction Workers, Boilermakers, Brickmasons, Blockmasons, and Stonemasons, Carpenters, Carpet, Floor, and Tile Installers and Finishers, Cement Masons, Concrete Finishers, and Terrazzo Workers, Construction Laborers, Paving, Surfacing, and Tamping Equipment Operators, Construction equipment operators (except paving/surfacing), Drywall Installers, Ceiling Tile Installers, and Tapers, Electricians, Glaziers, Insulation Workers, Painters, Construction and Maintenance, Paperhangers, Pipelayers, Plumbers, Pipefitters, and Steamfitters, Plasterers and Stucco Masons, Reinforcing Iron and Rebar Workers, Roofers, Sheet Metal Workers, metal-working, Structural Iron and Steel Workers, Helpers, Construction Trades, Construction and Building Inspectors, Elevator Installers and Repairers, Fence Erectors, Hazardous Materials Removal Workers, Construction workers, nec, Derrick, rotary drill, and service unit operators, and roustabouts, Earth Drillers, Except Oil and Gas, Explosives Workers, Ordnance Handling Experts, and Blasters, Mining Machine Operators, Extraction workers, nec, First-Line Supervisors of Mechanics, Installers, and Repairers, Computer, Automated Teller, and Office Machine Repairers, Radio and Telecommunications Equipment Installers and Repairers, Avionics Technicians, Electric Motor, Power Tool, and Related Repairers, Electrical and electronics repairers, transportation and utility, Electronic Equipment Installers and Repairers, Motor Vehicles, Electronic Home Entertainment Equipment Installers and Repairers, Electronic Repairs, nec, Security and Fire Alarm Systems Installers, Aircraft Mechanics and Service Technicians, Automotive Body and Related Repairers, Automotive Glass Installers and Repairers, Automotive Service Technicians and Mechanics, Bus and Truck Mechanics and Diesel Engine Specialists, Heavy Vehicle and Mobile Equipment Service Technicians and Mechanics, Small Engine Mechanics, Vehicle and Mobile Equipment Mechanics, Installers, and Repairers, nec, Control and Valve Installers and Repairers, Heating, Air Conditioning, and Refrigeration Mechanics and Installers, Home Appliance Repairers, Industrial and Refractory Machinery Mechanics, Maintenance and Repair Workers, General, Maintenance Workers, Machinery, Millwrights, Electrical Power-Line Installers and Repairers, Telecommunications Line Installers and Repairers, Precision Instrument and Equipment Repairers, Coin, Vending, and Amusement Machine Servicers and Repairers, Locksmiths and Safe Repairers, Manufactured Building and Mobile Home Installers, Riggers, Helpers—Installation, Maintenance, and Repair Workers, Other Installation, Maintenance, and Repair Workers, First-Line Supervisors of Production and Operating Workers, Aircraft Structure, Surfaces, Rigging, and Systems Assemblers, Electrical, Electronics, and Electromechanical Assemblers, Engine and Other Machine Assemblers, Structural Metal Fabricators and Fitters, Assemblers and Fabricators, nec, Bakers, Butchers and Other Meat, Poultry, and Fish Processing Workers, Food and Tobacco Roasting, Baking, and Drying Machine Operators, Food Batchmakers, Food Cooking Machine Operators and Tenders, Food Processing, nec, Computer Control Programmers and Operators, Extruding and Drawing Machine Setters, Operators, and Tenders, Forging Machine Setters, Operators, and Tenders, Rolling Machine Setters, Operators, and Tenders, Cutting, Punching, and Press Machine Setters, Operators, and Tenders, Drilling and Boring Machine Tool Setters, Operators, and Tenders, Grinding, Lapping, Polishing, and Buffing Machine Tool Setters, Lathe and Turning Machine Tool Setters, Operators, and Tenders, Machinists, Metal Furnace Operators, Tenders, Pourers, and Casters, Model Makers and Patternmakers, Metal and Plastic, Molders and Molding Machine Setters, Operators, and Tenders, Tool and Die Makers, Welding, Soldering, and Brazing Workers, Heat Treating Equipment Setters, Operators, and Tenders, Plating and Coating Machine Setters, Operators, and Tenders, Tool Grinders, Filers, and Sharpeners, Metal workers and plastic workers, nec, Bookbinders, Printing Machine Operators, and Job Printers, Prepress Technicians and Workers, Laundry and Dry-Cleaning Workers, Pressers, Textile, Garment, and Related Materials, Sewing Machine Operators, Shoe and Leather Workers and Repairers, Shoe Machine Operators and Tenders, Tailors, Dressmakers, and Sewers, Textile bleaching and dyeing, and cutting machine operators, Textile Knitting and Weaving Machine Operators, Textile Winding, Twisting, and Drawing Out Machine Operators, Upholsterers, Textile, Apparel, and Furnishings workers, nec, Cabinetmakers and Bench Carpenters, Furniture Finishers, Sawing Machine Setters, Operators, and Tenders, Wood, Woodworking Machine Operators, Except Sawing, Woodworkers including model makers and patternmakers, nec, Power Plant Operators, Distributors, and Dispatchers, Stationary Engineers and Boiler Operators, Plant and System Operators, nec, Chemical Processing Machine Setters, Operators, and Tenders, Crushing, Grinding, Polishing, Mixing, and Blending Workers, Cutting Workers, Extruding, Forming, Pressing, and Compacting Machine Operators, Furnace, Kiln, Oven, Drier, and Kettle Operators and Tenders, Inspectors, Testers, Sorters, Samplers, and Weighers, Jewelers and Precious Stone and Metal Workers, Packaging and Filling Machine Operators and Tenders, Painting Workers and Dyers, Photographic Process Workers and Processing Machine Operators, Adhesive Bonding Machine Operators and Tenders, Cleaning, Washing, and Metal Pickling Equipment Operators, Etchers, Engravers, and Lithographers, Molders, Shapers, and Casters, Except Metal and Plastic, Paper Goods Machine Setters, Operators, and Tenders, Tire Builders, Helpers—Production Workers, Other production workers (semiconductors, etc.), Supervisors of Transportation and Material Moving Workers, Aircraft Pilots and Flight Engineers, Flight Attendants and Transportation Workers, Driver/Sales Workers and Truck Drivers, Taxi Drivers and Chauffeurs, Motor Vehicle Operators, All Other, Locomotive Engineers and Operators, Railroad Brake, Signal, and Switch Operators, Railroad Conductors and Yardmasters, Sailors and marine oilers, and ship engineers, Ship and Boat Captains and Operators, Parking Lot Attendants, Automotive and Watercraft Service Attendants, Transportation workers, nec, Crane and Tower Operators, Dredge, Excavating, and Loading Machine Operators, Conveyor operators and tenders, and hoist and winch operators, Industrial Truck and Tractor Operators, Cleaners of Vehicles and Equipment, Laborers and Freight, Stock, and Material Movers, Hand, Machine Feeders and Offbearers, Packers and Packagers, Hand, Pumping Station Operators, Material moving workers, nec</v>
      </c>
    </row>
    <row r="5" ht="18.75" customHeight="1">
      <c r="A5" s="3">
        <v>100.0</v>
      </c>
      <c r="B5" s="3" t="s">
        <v>10</v>
      </c>
      <c r="C5" s="3" t="s">
        <v>5</v>
      </c>
      <c r="D5" s="3" t="s">
        <v>6</v>
      </c>
      <c r="F5" s="6"/>
    </row>
    <row r="6" ht="18.75" customHeight="1">
      <c r="A6" s="3">
        <v>110.0</v>
      </c>
      <c r="B6" s="3" t="s">
        <v>11</v>
      </c>
      <c r="C6" s="3" t="s">
        <v>5</v>
      </c>
      <c r="D6" s="3" t="s">
        <v>6</v>
      </c>
      <c r="F6" s="4" t="s">
        <v>12</v>
      </c>
      <c r="G6" s="5" t="str">
        <f>IFERROR(__xludf.DUMMYFUNCTION("TEXTJOIN("", "", TRUE, FILTER(A:A, C:C = F6))"),"230, 360, 1220, 1230, 1240, 1420, 1600, 1610, 1640, 1700, 1710, 1720, 1740, 1760, 1820, 1840, 1900, 1910, 1920, 1960, 1980, 2200, 2300, 2310, 2320, 2330, 2340, 2400, 2430, 2440, 2540, 2550, 5920")</f>
        <v>230, 360, 1220, 1230, 1240, 1420, 1600, 1610, 1640, 1700, 1710, 1720, 1740, 1760, 1820, 1840, 1900, 1910, 1920, 1960, 1980, 2200, 2300, 2310, 2320, 2330, 2340, 2400, 2430, 2440, 2540, 2550, 5920</v>
      </c>
    </row>
    <row r="7" ht="18.75" customHeight="1">
      <c r="A7" s="3">
        <v>120.0</v>
      </c>
      <c r="B7" s="3" t="s">
        <v>13</v>
      </c>
      <c r="C7" s="3" t="s">
        <v>5</v>
      </c>
      <c r="D7" s="3" t="s">
        <v>6</v>
      </c>
      <c r="F7" s="6"/>
      <c r="G7" s="5" t="str">
        <f>IFERROR(__xludf.DUMMYFUNCTION("TEXTJOIN("", "", TRUE, FILTER(B:B, C:C = F6))"),"Education Administrators, Natural Science Managers, Operations Research Analysts, Statisticians, Mathematical science occupations, nec, Environmental Engineers, Agricultural and Food Scientists, Biological Scientists, Conservation Scientists and Foresters"&amp;", Astronomers and Physicists, Atmospheric and Space Scientists, Chemists and Materials Scientists, Environmental Scientists and Geoscientists, Physical Scientists, nec, Psychologists, Social Scientists, nec, Agricultural and Food Science Technicians, Biol"&amp;"ogical Technicians, Chemical Technicians, Life, Physical, and Social Science Technicians, nec, Professional, Research, or Technical Workers, nec, Postsecondary Teachers, Preschool and Kindergarten Teachers, Elementary and Middle School Teachers, Secondary"&amp;" School Teachers, Special Education Teachers, Other Teachers and Instructors, Archivists, Curators, and Museum Technicians, Librarians, Library Technicians, Teacher Assistants, Education, Training, and Library Workers, nec, Statistical Assistants")</f>
        <v>Education Administrators, Natural Science Managers, Operations Research Analysts, Statisticians, Mathematical science occupations, nec, Environmental Engineers, Agricultural and Food Scientists, Biological Scientists, Conservation Scientists and Foresters, Astronomers and Physicists, Atmospheric and Space Scientists, Chemists and Materials Scientists, Environmental Scientists and Geoscientists, Physical Scientists, nec, Psychologists, Social Scientists, nec, Agricultural and Food Science Technicians, Biological Technicians, Chemical Technicians, Life, Physical, and Social Science Technicians, nec, Professional, Research, or Technical Workers, nec, Postsecondary Teachers, Preschool and Kindergarten Teachers, Elementary and Middle School Teachers, Secondary School Teachers, Special Education Teachers, Other Teachers and Instructors, Archivists, Curators, and Museum Technicians, Librarians, Library Technicians, Teacher Assistants, Education, Training, and Library Workers, nec, Statistical Assistants</v>
      </c>
    </row>
    <row r="8" ht="18.75" customHeight="1">
      <c r="A8" s="3">
        <v>130.0</v>
      </c>
      <c r="B8" s="3" t="s">
        <v>14</v>
      </c>
      <c r="C8" s="3" t="s">
        <v>5</v>
      </c>
      <c r="D8" s="3" t="s">
        <v>6</v>
      </c>
      <c r="F8" s="6"/>
    </row>
    <row r="9" ht="18.75" customHeight="1">
      <c r="A9" s="3">
        <v>140.0</v>
      </c>
      <c r="B9" s="3" t="s">
        <v>15</v>
      </c>
      <c r="C9" s="3" t="s">
        <v>5</v>
      </c>
      <c r="D9" s="3" t="s">
        <v>6</v>
      </c>
      <c r="F9" s="4" t="s">
        <v>16</v>
      </c>
      <c r="G9" s="5" t="str">
        <f>IFERROR(__xludf.DUMMYFUNCTION("TEXTJOIN("", "", TRUE, FILTER(A:A, C:C = F9))"),"205, 420, 430, 560, 930, 2000, 2010, 2020, 2040, 2050, 2060, 2100, 2140, 2150, 3700, 3710, 3720, 3730, 3740, 3750, 3800, 3820, 3900, 3910, 3930, 3940, 3950, 5220, 5250, 5540, 5550, 5560, 6010, 6120, 6730, 6740, 8620, 9040, 9100, 9260, 9410, 9720, 9800, 98"&amp;"10, 9820, 9830")</f>
        <v>205, 420, 430, 560, 930, 2000, 2010, 2020, 2040, 2050, 2060, 2100, 2140, 2150, 3700, 3710, 3720, 3730, 3740, 3750, 3800, 3820, 3900, 3910, 3930, 3940, 3950, 5220, 5250, 5540, 5550, 5560, 6010, 6120, 6730, 6740, 8620, 9040, 9100, 9260, 9410, 9720, 9800, 9810, 9820, 9830</v>
      </c>
    </row>
    <row r="10" ht="18.75" customHeight="1">
      <c r="A10" s="3">
        <v>150.0</v>
      </c>
      <c r="B10" s="3" t="s">
        <v>17</v>
      </c>
      <c r="C10" s="3" t="s">
        <v>5</v>
      </c>
      <c r="D10" s="3" t="s">
        <v>6</v>
      </c>
      <c r="F10" s="6"/>
      <c r="G10" s="5" t="str">
        <f>IFERROR(__xludf.DUMMYFUNCTION("TEXTJOIN("", "", TRUE, FILTER(B:B, C:C = F9))"),"Farmers, Ranchers, and Other Agricultural Managers, Social and Community Service Managers, Managers, nec (including Postmasters), Compliance Officers, Except Agriculture, Tax Examiners and Collectors, and Revenue Agents, Counselors, Social Workers, Commun"&amp;"ity and Social Service Specialists, nec, Clergy, Directors, Religious Activities and Education, Religious Workers, nec, Lawyers, Judges, Magistrates, Paralegals and Legal Assistants, Legal Support Workers, nec, First-Line Supervisors of Correctional Offic"&amp;"ers, First-Line Supervisors of Police and Detectives, First-Line Supervisors of Fire Fighting and Prevention Workers, Supervisors, Protective Service Workers, All Other, Firefighters, Fire Inspectors, Sheriffs, Bailiffs, Correctional Officers, and Jailers"&amp;", Police Officers and Detectives, Animal Control, Private Detectives and Investigators, Security Guards and Gaming Surveillance Officers, Crossing Guards, Law enforcement workers, nec, Court, Municipal, and License Clerks, Eligibility Interviewers, Govern"&amp;"ment Programs, Postal Service Clerks, Postal Service Mail Carriers, Postal Service Mail Sorters, Processors, and Machine Operators, Agricultural Inspectors, Forest and Conservation Workers, Highway Maintenance Workers, Rail-Track Laying and Maintenance Eq"&amp;"uipment Operators, Water Wastewater Treatment Plant and System Operators, Air Traffic Controllers and Airfield Operations Specialists, Bus and Ambulance Drivers and Attendants, Subway, Streetcar, and Other Rail Transportation Workers, Transportation Inspe"&amp;"ctors, Refuse and Recyclable Material Collectors, Military Officer Special and Tactical Operations Leaders, First-Line Enlisted Military Supervisors, Military Enlisted Tactical Operations and Air/Weapons Specialists, Military, Rank Not Specified")</f>
        <v>Farmers, Ranchers, and Other Agricultural Managers, Social and Community Service Managers, Managers, nec (including Postmasters), Compliance Officers, Except Agriculture, Tax Examiners and Collectors, and Revenue Agents, Counselors, Social Workers, Community and Social Service Specialists, nec, Clergy, Directors, Religious Activities and Education, Religious Workers, nec, Lawyers, Judges, Magistrates, Paralegals and Legal Assistants, Legal Support Workers, nec, First-Line Supervisors of Correctional Officers, First-Line Supervisors of Police and Detectives, First-Line Supervisors of Fire Fighting and Prevention Workers, Supervisors, Protective Service Workers, All Other, Firefighters, Fire Inspectors, Sheriffs, Bailiffs, Correctional Officers, and Jailers, Police Officers and Detectives, Animal Control, Private Detectives and Investigators, Security Guards and Gaming Surveillance Officers, Crossing Guards, Law enforcement workers, nec, Court, Municipal, and License Clerks, Eligibility Interviewers, Government Programs, Postal Service Clerks, Postal Service Mail Carriers, Postal Service Mail Sorters, Processors, and Machine Operators, Agricultural Inspectors, Forest and Conservation Workers, Highway Maintenance Workers, Rail-Track Laying and Maintenance Equipment Operators, Water Wastewater Treatment Plant and System Operators, Air Traffic Controllers and Airfield Operations Specialists, Bus and Ambulance Drivers and Attendants, Subway, Streetcar, and Other Rail Transportation Workers, Transportation Inspectors, Refuse and Recyclable Material Collectors, Military Officer Special and Tactical Operations Leaders, First-Line Enlisted Military Supervisors, Military Enlisted Tactical Operations and Air/Weapons Specialists, Military, Rank Not Specified</v>
      </c>
    </row>
    <row r="11" ht="18.75" customHeight="1">
      <c r="A11" s="3">
        <v>160.0</v>
      </c>
      <c r="B11" s="3" t="s">
        <v>18</v>
      </c>
      <c r="C11" s="3" t="s">
        <v>5</v>
      </c>
      <c r="D11" s="3" t="s">
        <v>6</v>
      </c>
      <c r="F11" s="6"/>
    </row>
    <row r="12" ht="18.75" customHeight="1">
      <c r="A12" s="3">
        <v>205.0</v>
      </c>
      <c r="B12" s="3" t="s">
        <v>19</v>
      </c>
      <c r="C12" s="3" t="s">
        <v>16</v>
      </c>
      <c r="D12" s="3" t="s">
        <v>20</v>
      </c>
      <c r="F12" s="4" t="s">
        <v>21</v>
      </c>
      <c r="G12" s="5" t="str">
        <f>IFERROR(__xludf.DUMMYFUNCTION("TEXTJOIN("", "", TRUE, FILTER(A:A, C:C = F12))"),"320, 350, 1650, 3000, 3010, 3030, 3040, 3050, 3060, 3110, 3120, 3130, 3140, 3150, 3160, 3200, 3210, 3220, 3230, 3240, 3250, 3260, 3300, 3310, 3320, 3400, 3410, 3500, 3510, 3520, 3530, 3540, 3600, 3610, 3620, 3630, 3640, 3650, 8760")</f>
        <v>320, 350, 1650, 3000, 3010, 3030, 3040, 3050, 3060, 3110, 3120, 3130, 3140, 3150, 3160, 3200, 3210, 3220, 3230, 3240, 3250, 3260, 3300, 3310, 3320, 3400, 3410, 3500, 3510, 3520, 3530, 3540, 3600, 3610, 3620, 3630, 3640, 3650, 8760</v>
      </c>
    </row>
    <row r="13" ht="18.75" customHeight="1">
      <c r="A13" s="3">
        <v>220.0</v>
      </c>
      <c r="B13" s="3" t="s">
        <v>22</v>
      </c>
      <c r="C13" s="3" t="s">
        <v>5</v>
      </c>
      <c r="D13" s="3" t="s">
        <v>6</v>
      </c>
      <c r="F13" s="6"/>
      <c r="G13" s="5" t="str">
        <f>IFERROR(__xludf.DUMMYFUNCTION("TEXTJOIN("", "", TRUE, FILTER(B:B, C:C = F12))"),"Funeral Directors, Medical and Health Services Managers, Medical Scientists, Chiropractors, Dentists, Dieticians and Nutritionists, Optometrists, Pharmacists, Physicians and Surgeons, Physician Assistants, Podiatrists, Registered Nurses, Audiologists, Occ"&amp;"upational Therapists, Physical Therapists, Radiation Therapists, Recreational Therapists, Respiratory Therapists, Speech Language Pathologists, Therapists, nec, Veterinarians, Health Diagnosing and Treating Practitioners, nec, Clinical Laboratory Technolo"&amp;"gists and Technicians, Dental Hygienists, Diagnostic Related Technologists and Technicians, Emergency Medical Technicians and Paramedics, Health Diagnosing and Treating Practitioner Support Technicians, Licensed Practical and Licensed Vocational Nurses, M"&amp;"edical Records and Health Information Technicians, Opticians, Dispensing, Health Technologists and Technicians, nec, Healthcare Practitioners and Technical Occupations, nec, Nursing, Psychiatric, and Home Health Aides, Occupational Therapy Assistants and "&amp;"Aides, Physical Therapist Assistants and Aides, Massage Therapists, Dental Assistants, Medical Assistants, Medical, Dental, and Ophthalmic Laboratory Technicians")</f>
        <v>Funeral Directors, Medical and Health Services Managers, Medical Scientists, Chiropractors, Dentists, Dieticians and Nutritionists, Optometrists, Pharmacists, Physicians and Surgeons, Physician Assistants, Podiatrists, Registered Nurses, Audiologists, Occupational Therapists, Physical Therapists, Radiation Therapists, Recreational Therapists, Respiratory Therapists, Speech Language Pathologists, Therapists, nec, Veterinarians, Health Diagnosing and Treating Practitioners, nec, Clinical Laboratory Technologists and Technicians, Dental Hygienists, Diagnostic Related Technologists and Technicians, Emergency Medical Technicians and Paramedics, Health Diagnosing and Treating Practitioner Support Technicians, Licensed Practical and Licensed Vocational Nurses, Medical Records and Health Information Technicians, Opticians, Dispensing, Health Technologists and Technicians, nec, Healthcare Practitioners and Technical Occupations, nec, Nursing, Psychiatric, and Home Health Aides, Occupational Therapy Assistants and Aides, Physical Therapist Assistants and Aides, Massage Therapists, Dental Assistants, Medical Assistants, Medical, Dental, and Ophthalmic Laboratory Technicians</v>
      </c>
    </row>
    <row r="14" ht="18.75" customHeight="1">
      <c r="A14" s="3">
        <v>230.0</v>
      </c>
      <c r="B14" s="3" t="s">
        <v>23</v>
      </c>
      <c r="C14" s="3" t="s">
        <v>12</v>
      </c>
      <c r="D14" s="3" t="s">
        <v>6</v>
      </c>
      <c r="F14" s="6"/>
    </row>
    <row r="15" ht="18.75" customHeight="1">
      <c r="A15" s="3">
        <v>300.0</v>
      </c>
      <c r="B15" s="3" t="s">
        <v>24</v>
      </c>
      <c r="C15" s="3" t="s">
        <v>5</v>
      </c>
      <c r="D15" s="3" t="s">
        <v>6</v>
      </c>
      <c r="F15" s="4" t="s">
        <v>25</v>
      </c>
      <c r="G15" s="5" t="str">
        <f>IFERROR(__xludf.DUMMYFUNCTION("TEXTJOIN("", "", TRUE, FILTER(A:A, C:C = F15))"),"9920")</f>
        <v>9920</v>
      </c>
    </row>
    <row r="16" ht="18.75" customHeight="1">
      <c r="A16" s="3">
        <v>310.0</v>
      </c>
      <c r="B16" s="3" t="s">
        <v>26</v>
      </c>
      <c r="C16" s="3" t="s">
        <v>5</v>
      </c>
      <c r="D16" s="3" t="s">
        <v>20</v>
      </c>
      <c r="F16" s="2"/>
      <c r="G16" s="5" t="str">
        <f>IFERROR(__xludf.DUMMYFUNCTION("TEXTJOIN("", "", TRUE, FILTER(B:B, C:C = F15))"),"Unemployed, No Work Experience (5+ years or never)")</f>
        <v>Unemployed, No Work Experience (5+ years or never)</v>
      </c>
    </row>
    <row r="17" ht="18.75" customHeight="1">
      <c r="A17" s="3">
        <v>320.0</v>
      </c>
      <c r="B17" s="3" t="s">
        <v>27</v>
      </c>
      <c r="C17" s="3" t="s">
        <v>21</v>
      </c>
      <c r="D17" s="3" t="s">
        <v>20</v>
      </c>
      <c r="F17" s="2"/>
    </row>
    <row r="18" ht="18.75" customHeight="1">
      <c r="A18" s="3">
        <v>330.0</v>
      </c>
      <c r="B18" s="3" t="s">
        <v>28</v>
      </c>
      <c r="C18" s="3" t="s">
        <v>5</v>
      </c>
      <c r="D18" s="3" t="s">
        <v>20</v>
      </c>
      <c r="F18" s="2"/>
    </row>
    <row r="19" ht="18.75" customHeight="1">
      <c r="A19" s="3">
        <v>350.0</v>
      </c>
      <c r="B19" s="3" t="s">
        <v>29</v>
      </c>
      <c r="C19" s="3" t="s">
        <v>21</v>
      </c>
      <c r="D19" s="3" t="s">
        <v>6</v>
      </c>
      <c r="F19" s="1" t="s">
        <v>30</v>
      </c>
    </row>
    <row r="20" ht="18.75" customHeight="1">
      <c r="A20" s="3">
        <v>360.0</v>
      </c>
      <c r="B20" s="3" t="s">
        <v>31</v>
      </c>
      <c r="C20" s="3" t="s">
        <v>12</v>
      </c>
      <c r="D20" s="3" t="s">
        <v>6</v>
      </c>
      <c r="F20" s="4" t="s">
        <v>6</v>
      </c>
      <c r="G20" s="5" t="str">
        <f>IFERROR(__xludf.DUMMYFUNCTION("TEXTJOIN("", "", TRUE, FILTER(A:A, D:D = F20))"),"10, 20, 30, 100, 110, 120, 130, 140, 150, 160, 220, 230, 300, 350, 360, 420, 430, 1220, 1230, 1240, 1300, 1320, 1350, 1360, 1400, 1410, 1420, 1430, 1440, 1450, 1600, 1610, 1640, 1650, 1700, 1710, 1720, 1740, 1760, 1800, 1820, 1830, 1840, 2000, 2010, 2040,"&amp;" 2050, 2100, 2200, 2400, 2430, 3000, 3010, 3030, 3040, 3050, 3060, 3110, 3120, 3140, 3150, 3160, 3200, 3210, 3220, 3230, 3240, 3250, 3260, 3540, 4820, 4930, 9030, 9040, 9800")</f>
        <v>10, 20, 30, 100, 110, 120, 130, 140, 150, 160, 220, 230, 300, 350, 360, 420, 430, 1220, 1230, 1240, 1300, 1320, 1350, 1360, 1400, 1410, 1420, 1430, 1440, 1450, 1600, 1610, 1640, 1650, 1700, 1710, 1720, 1740, 1760, 1800, 1820, 1830, 1840, 2000, 2010, 2040, 2050, 2100, 2200, 2400, 2430, 3000, 3010, 3030, 3040, 3050, 3060, 3110, 3120, 3140, 3150, 3160, 3200, 3210, 3220, 3230, 3240, 3250, 3260, 3540, 4820, 4930, 9030, 9040, 9800</v>
      </c>
    </row>
    <row r="21" ht="18.75" customHeight="1">
      <c r="A21" s="3">
        <v>410.0</v>
      </c>
      <c r="B21" s="3" t="s">
        <v>32</v>
      </c>
      <c r="C21" s="3" t="s">
        <v>5</v>
      </c>
      <c r="D21" s="3" t="s">
        <v>20</v>
      </c>
      <c r="F21" s="6"/>
      <c r="G21" s="5" t="str">
        <f>IFERROR(__xludf.DUMMYFUNCTION("TEXTJOIN("", "", TRUE, FILTER(B:B, D:D = F20))"),"Chief executives and legislators/public administration, General and Operations Managers, Managers in Marketing, Advertising, and Public Relations, Administrative Services Managers, Computer and Information Systems Managers, Financial Managers, Human Resou"&amp;"rces Managers, Industrial Production Managers, Purchasing Managers, Transportation, Storage, and Distribution Managers, Constructions Managers, Education Administrators, Architectural and Engineering Managers, Medical and Health Services Managers, Natural"&amp;" Science Managers, Social and Community Service Managers, Managers, nec (including Postmasters), Operations Research Analysts, Statisticians, Mathematical science occupations, nec, Architects, Except Naval, Aerospace Engineers, Chemical Engineers, Civil E"&amp;"ngineers, Computer Hardware Engineers, Electrical and Electronics Engineers, Environmental Engineers, Industrial Engineers, including Health and Safety, Marine Engineers and Naval Architects, Materials Engineers, Agricultural and Food Scientists, Biologic"&amp;"al Scientists, Conservation Scientists and Foresters, Medical Scientists, Astronomers and Physicists, Atmospheric and Space Scientists, Chemists and Materials Scientists, Environmental Scientists and Geoscientists, Physical Scientists, nec, Economists and"&amp;" market researchers, Psychologists, Urban and Regional Planners, Social Scientists, nec, Counselors, Social Workers, Clergy, Directors, Religious Activities and Education, Lawyers, Judges, Magistrates, Postsecondary Teachers, Archivists, Curators, and Mus"&amp;"eum Technicians, Librarians, Chiropractors, Dentists, Dieticians and Nutritionists, Optometrists, Pharmacists, Physicians and Surgeons, Physician Assistants, Podiatrists, Audiologists, Occupational Therapists, Physical Therapists, Radiation Therapists, Re"&amp;"creational Therapists, Respiratory Therapists, Speech Language Pathologists, Therapists, nec, Veterinarians, Health Diagnosing and Treating Practitioners, nec, Healthcare Practitioners and Technical Occupations, nec, Securities, Commodities, and Financial"&amp;" Services Sales Agents, Sales Engineers, Aircraft Pilots and Flight Engineers, Air Traffic Controllers and Airfield Operations Specialists, Military Officer Special and Tactical Operations Leaders")</f>
        <v>Chief executives and legislators/public administration, General and Operations Managers, Managers in Marketing, Advertising, and Public Relations, Administrative Services Managers, Computer and Information Systems Managers, Financial Managers, Human Resources Managers, Industrial Production Managers, Purchasing Managers, Transportation, Storage, and Distribution Managers, Constructions Managers, Education Administrators, Architectural and Engineering Managers, Medical and Health Services Managers, Natural Science Managers, Social and Community Service Managers, Managers, nec (including Postmasters), Operations Research Analysts, Statisticians, Mathematical science occupations, nec, Architects, Except Naval, Aerospace Engineers, Chemical Engineers, Civil Engineers, Computer Hardware Engineers, Electrical and Electronics Engineers, Environmental Engineers, Industrial Engineers, including Health and Safety, Marine Engineers and Naval Architects, Materials Engineers, Agricultural and Food Scientists, Biological Scientists, Conservation Scientists and Foresters, Medical Scientists, Astronomers and Physicists, Atmospheric and Space Scientists, Chemists and Materials Scientists, Environmental Scientists and Geoscientists, Physical Scientists, nec, Economists and market researchers, Psychologists, Urban and Regional Planners, Social Scientists, nec, Counselors, Social Workers, Clergy, Directors, Religious Activities and Education, Lawyers, Judges, Magistrates, Postsecondary Teachers, Archivists, Curators, and Museum Technicians, Librarians, Chiropractors, Dentists, Dieticians and Nutritionists, Optometrists, Pharmacists, Physicians and Surgeons, Physician Assistants, Podiatrists, Audiologists, Occupational Therapists, Physical Therapists, Radiation Therapists, Recreational Therapists, Respiratory Therapists, Speech Language Pathologists, Therapists, nec, Veterinarians, Health Diagnosing and Treating Practitioners, nec, Healthcare Practitioners and Technical Occupations, nec, Securities, Commodities, and Financial Services Sales Agents, Sales Engineers, Aircraft Pilots and Flight Engineers, Air Traffic Controllers and Airfield Operations Specialists, Military Officer Special and Tactical Operations Leaders</v>
      </c>
    </row>
    <row r="22" ht="18.75" customHeight="1">
      <c r="A22" s="3">
        <v>420.0</v>
      </c>
      <c r="B22" s="3" t="s">
        <v>33</v>
      </c>
      <c r="C22" s="3" t="s">
        <v>16</v>
      </c>
      <c r="D22" s="3" t="s">
        <v>6</v>
      </c>
      <c r="F22" s="6"/>
    </row>
    <row r="23" ht="18.75" customHeight="1">
      <c r="A23" s="3">
        <v>430.0</v>
      </c>
      <c r="B23" s="3" t="s">
        <v>34</v>
      </c>
      <c r="C23" s="3" t="s">
        <v>16</v>
      </c>
      <c r="D23" s="3" t="s">
        <v>6</v>
      </c>
      <c r="F23" s="4" t="s">
        <v>20</v>
      </c>
      <c r="G23" s="5" t="str">
        <f>IFERROR(__xludf.DUMMYFUNCTION("TEXTJOIN("", "", TRUE, FILTER(A:A, D:D = F23))"),"205, 310, 320, 330, 410, 500, 510, 520, 530, 540, 560, 600, 620, 700, 710, 720, 730, 800, 810, 820, 830, 840, 850, 860, 900, 910, 930, 940, 950, 1000, 1010, 1020, 1050, 1060, 1100, 1200, 1310, 1460, 1520, 1530, 1540, 1550, 1560, 1900, 1910, 1920, 1930, 19"&amp;"60, 1980, 2020, 2060, 2140, 2150, 2300, 2310, 2320, 2330, 2340, 2440, 2540, 2550, 2600, 2630, 2700, 2720, 2740, 2750, 2760, 2800, 2810, 2825, 2840, 2850, 2860, 2900, 2910, 2920, 3130, 3300, 3310, 3320, 3400, 3410, 3500, 3510, 3520, 3530, 3600, 3610, 3620,"&amp;" 3630, 3640, 3650, 3700, 3710, 3720, 3730, 3740, 3750, 3800, 3820, 3900, 3910, 3930, 3940, 3950, 4000, 4010, 4030, 4040, 4050, 4060, 4110, 4120, 4130, 4140, 4150, 4200, 4210, 4220, 4230, 4240, 4250, 4300, 4320, 4340, 4350, 4400, 4420, 4430, 4460, 4500, 45"&amp;"10, 4520, 4530, 4540, 4600, 4610, 4620, 4640, 4650, 4700, 4720, 4740, 4750, 4760, 4800, 4810, 4830, 4840, 4850, 4900, 4920, 4940, 4950, 4965, 5000, 5010, 5020, 5030, 5100, 5110, 5120, 5130, 5140, 5150, 5160, 5165, 5200, 5220, 5230, 5240, 5250, 5260, 5300,"&amp;" 5310, 5320, 5330, 5340, 5350, 5360, 5400, 5410, 5420, 5500, 5510, 5520, 5530, 5540, 5550, 5560, 5600, 5610, 5620, 5630, 5700, 5800, 5810, 5820, 5840, 5850, 5860, 5900, 5910, 5920, 5940, 6005, 6010, 6040, 6050, 6100, 6120, 6130, 6200, 6210, 6220, 6230, 62"&amp;"40, 6250, 6260, 6300, 6320, 6330, 6355, 6360, 6400, 6420, 6430, 6440, 6460, 6500, 6515, 6520, 6530, 6600, 6660, 6700, 6710, 6720, 6730, 6740, 6765, 6800, 6820, 6830, 6840, 6940, 7000, 7010, 7020, 7030, 7040, 7100, 7110, 7120, 7125, 7130, 7140, 7150, 7160,"&amp;" 7200, 7210, 7220, 7240, 7260, 7300, 7315, 7320, 7330, 7340, 7350, 7360, 7410, 7420, 7430, 7510, 7540, 7550, 7560, 7610, 7630, 7700, 7710, 7720, 7730, 7740, 7750, 7800, 7810, 7830, 7840, 7850, 7855, 7900, 7920, 7930, 7940, 7950, 7960, 8000, 8010, 8030, 80"&amp;"40, 8060, 8100, 8130, 8140, 8150, 8200, 8210, 8220, 8230, 8250, 8300, 8310, 8320, 8330, 8340, 8350, 8400, 8410, 8420, 8450, 8460, 8500, 8510, 8530, 8540, 8550, 8600, 8610, 8620, 8630, 8640, 8650, 8710, 8720, 8730, 8740, 8750, 8760, 8800, 8810, 8830, 8850,"&amp;" 8860, 8910, 8920, 8930, 8940, 8950, 8965, 9000, 9050, 9100, 9130, 9140, 9150, 9200, 9230, 9240, 9260, 9300, 9310, 9350, 9360, 9410, 9420, 9510, 9520, 9560, 9600, 9610, 9620, 9630, 9640, 9650, 9720, 9750, 9810, 9820, 9830, 9920")</f>
        <v>205, 310, 320, 330, 410, 500, 510, 520, 530, 540, 560, 600, 620, 700, 710, 720, 730, 800, 810, 820, 830, 840, 850, 860, 900, 910, 930, 940, 950, 1000, 1010, 1020, 1050, 1060, 1100, 1200, 1310, 1460, 1520, 1530, 1540, 1550, 1560, 1900, 1910, 1920, 1930, 1960, 1980, 2020, 2060, 2140, 2150, 2300, 2310, 2320, 2330, 2340, 2440, 2540, 2550, 2600, 2630, 2700, 2720, 2740, 2750, 2760, 2800, 2810, 2825, 2840, 2850, 2860, 2900, 2910, 2920, 3130, 3300, 3310, 3320, 3400, 3410, 3500, 3510, 3520, 3530, 3600, 3610, 3620, 3630, 3640, 3650, 3700, 3710, 3720, 3730, 3740, 3750, 3800, 3820, 3900, 3910, 3930, 3940, 3950, 4000, 4010, 4030, 4040, 4050, 4060, 4110, 4120, 4130, 4140, 4150, 4200, 4210, 4220, 4230, 4240, 4250, 4300, 4320, 4340, 4350, 4400, 4420, 4430, 4460, 4500, 4510, 4520, 4530, 4540, 4600, 4610, 4620, 4640, 4650, 4700, 4720, 4740, 4750, 4760, 4800, 4810, 4830, 4840, 4850, 4900, 4920, 4940, 4950, 4965, 5000, 5010, 5020, 5030, 5100, 5110, 5120, 5130, 5140, 5150, 5160, 5165, 5200, 5220, 5230, 5240, 5250, 5260, 5300, 5310, 5320, 5330, 5340, 5350, 5360, 5400, 5410, 5420, 5500, 5510, 5520, 5530, 5540, 5550, 5560, 5600, 5610, 5620, 5630, 5700, 5800, 5810, 5820, 5840, 5850, 5860, 5900, 5910, 5920, 5940, 6005, 6010, 6040, 6050, 6100, 6120, 6130, 6200, 6210, 6220, 6230, 6240, 6250, 6260, 6300, 6320, 6330, 6355, 6360, 6400, 6420, 6430, 6440, 6460, 6500, 6515, 6520, 6530, 6600, 6660, 6700, 6710, 6720, 6730, 6740, 6765, 6800, 6820, 6830, 6840, 6940, 7000, 7010, 7020, 7030, 7040, 7100, 7110, 7120, 7125, 7130, 7140, 7150, 7160, 7200, 7210, 7220, 7240, 7260, 7300, 7315, 7320, 7330, 7340, 7350, 7360, 7410, 7420, 7430, 7510, 7540, 7550, 7560, 7610, 7630, 7700, 7710, 7720, 7730, 7740, 7750, 7800, 7810, 7830, 7840, 7850, 7855, 7900, 7920, 7930, 7940, 7950, 7960, 8000, 8010, 8030, 8040, 8060, 8100, 8130, 8140, 8150, 8200, 8210, 8220, 8230, 8250, 8300, 8310, 8320, 8330, 8340, 8350, 8400, 8410, 8420, 8450, 8460, 8500, 8510, 8530, 8540, 8550, 8600, 8610, 8620, 8630, 8640, 8650, 8710, 8720, 8730, 8740, 8750, 8760, 8800, 8810, 8830, 8850, 8860, 8910, 8920, 8930, 8940, 8950, 8965, 9000, 9050, 9100, 9130, 9140, 9150, 9200, 9230, 9240, 9260, 9300, 9310, 9350, 9360, 9410, 9420, 9510, 9520, 9560, 9600, 9610, 9620, 9630, 9640, 9650, 9720, 9750, 9810, 9820, 9830, 9920</v>
      </c>
    </row>
    <row r="24" ht="18.75" customHeight="1">
      <c r="A24" s="3">
        <v>500.0</v>
      </c>
      <c r="B24" s="3" t="s">
        <v>35</v>
      </c>
      <c r="C24" s="3" t="s">
        <v>5</v>
      </c>
      <c r="D24" s="3" t="s">
        <v>20</v>
      </c>
      <c r="F24" s="2"/>
      <c r="G24" s="5" t="str">
        <f>IFERROR(__xludf.DUMMYFUNCTION("TEXTJOIN("", "", TRUE, FILTER(B:B, D:D = F23))"),"Farmers, Ranchers, and Other Agricultural Managers, Food Service and Lodging Managers, Funeral Directors, Gaming Managers, Property, Real Estate, and Community Association Managers, Agents and Business Managers of Artists, Performers, and Athletes, Buyers"&amp;" and Purchasing Agents, Farm Products, Wholesale and Retail Buyers, Except Farm Products, Purchasing Agents, Except Wholesale, Retail, and Farm Products, Claims Adjusters, Appraisers, Examiners, and Investigators, Compliance Officers, Except Agriculture, "&amp;"Cost Estimators, Human Resources, Training, and Labor Relations Specialists, Logisticians, Management Analysts, Meeting and Convention Planners, Other Business Operations and Management Specialists, Accountants and Auditors, Appraisers and Assessors of Re"&amp;"al Estate, Budget Analysts, Credit Analysts, Financial Analysts, Personal Financial Advisors, Insurance Underwriters, Financial Examiners, Credit Counselors and Loan Officers, Tax Examiners and Collectors, and Revenue Agents, Tax Preparers, Financial Spec"&amp;"ialists, nec, Computer Scientists and Systems Analysts, Computer Programmers, Software Developers, Computer Support Specialists, Database Administrators, Network and Computer Systems Administrators, Actuaries, Surveyors, Cartographers, and Photogrammetris"&amp;"ts, Mechanical Engineers, Petroleum, Mining, and Geological Engineers, Engineers, nec, Drafters, Engineering Technicians, Except Drafters, Surveying and Mapping Technicians, Agricultural and Food Science Technicians, Biological Technicians, Chemical Techn"&amp;"icians, Geological and Petroleum Technicians, and Nuclear Technicians, Life, Physical, and Social Science Technicians, nec, Professional, Research, or Technical Workers, nec, Community and Social Service Specialists, nec, Religious Workers, nec, Paralegal"&amp;"s and Legal Assistants, Legal Support Workers, nec, Preschool and Kindergarten Teachers, Elementary and Middle School Teachers, Secondary School Teachers, Special Education Teachers, Other Teachers and Instructors, Library Technicians, Teacher Assistants,"&amp;" Education, Training, and Library Workers, nec, Artists and Related Workers, Designers, Actors, Producers, and Directors, Athletes, Coaches, Umpires, and Related Workers, Dancers and Choreographers, Musicians, Singers, and Related Workers, Entertainers an"&amp;"d Performers, Sports and Related Workers, All Other, Announcers, Editors, News Analysts, Reporters, and Correspondents, Public Relations Specialists, Technical Writers, Writers and Authors, Media and Communication Workers, nec, Broadcast and Sound Enginee"&amp;"ring Technicians and Media Equipment Workers, Photographers, Television, Video, and Motion Picture Camera Operators and Editors, Registered Nurses, Clinical Laboratory Technologists and Technicians, Dental Hygienists, Diagnostic Related Technologists and "&amp;"Technicians, Emergency Medical Technicians and Paramedics, Health Diagnosing and Treating Practitioner Support Technicians, Licensed Practical and Licensed Vocational Nurses, Medical Records and Health Information Technicians, Opticians, Dispensing, Healt"&amp;"h Technologists and Technicians, nec, Nursing, Psychiatric, and Home Health Aides, Occupational Therapy Assistants and Aides, Physical Therapist Assistants and Aides, Massage Therapists, Dental Assistants, Medical Assistants, First-Line Supervisors of Cor"&amp;"rectional Officers, First-Line Supervisors of Police and Detectives, First-Line Supervisors of Fire Fighting and Prevention Workers, Supervisors, Protective Service Workers, All Other, Firefighters, Fire Inspectors, Sheriffs, Bailiffs, Correctional Office"&amp;"rs, and Jailers, Police Officers and Detectives, Animal Control, Private Detectives and Investigators, Security Guards and Gaming Surveillance Officers, Crossing Guards, Law enforcement workers, nec, Chefs and Cooks, First-Line Supervisors of Food Prepara"&amp;"tion and Serving Workers, Food Preparation Workers, Bartenders, Combined Food Preparation and Serving Workers, Including Fast Food, Counter Attendant, Cafeteria, Food Concession, and Coffee Shop, Waiters and Waitresses, Food Servers, Nonrestaurant, Food p"&amp;"reparation and serving related workers, nec, Dishwashers, Host and Hostesses, Restaurant, Lounge, and Coffee Shop, First-Line Supervisors of Housekeeping and Janitorial Workers, First-Line Supervisors of Landscaping, Lawn Service, and Groundskeeping Worke"&amp;"rs, Janitors and Building Cleaners, Maids and Housekeeping Cleaners, Pest Control Workers, Grounds Maintenance Workers, First-Line Supervisors of Gaming Workers, First-Line Supervisors of Personal Service Workers, Animal Trainers, Nonfarm Animal Caretaker"&amp;"s, Gaming Services Workers, Ushers, Lobby Attendants, and Ticket Takers, Entertainment Attendants and Related Workers, nec, Funeral Service Workers and Embalmers, Barbers, Hairdressers, Hairstylists, and Cosmetologists, Personal Appearance Workers, nec, B"&amp;"aggage Porters, Bellhops, and Concierges, Tour and Travel Guides, Childcare Workers, Personal Care Aides, Recreation and Fitness Workers, Residential Advisors, Personal Care and Service Workers, All Other, First-Line Supervisors of Sales Workers, Cashiers"&amp;", Counter and Rental Clerks, Parts Salespersons, Retail Salespersons, Advertising Sales Agents, Insurance Sales Agents, Travel Agents, Sales Representatives, Services, All Other, Sales Representatives, Wholesale and Manufacturing, Models, Demonstrators, a"&amp;"nd Product Promoters, Real Estate Brokers and Sales Agents, Telemarketers, Door-to-Door Sales Workers, News and Street Vendors, Sales and Related Workers, All Other, First-Line Supervisors of Office and Administrative Support Workers, Switchboard Operator"&amp;"s, Including Answering Service, Telephone Operators, Communications Equipment Operators, All Other, Bill and Account Collectors, Billing and Posting Clerks, Bookkeeping, Accounting, and Auditing Clerks, Gaming Cage Workers, Payroll and Timekeeping Clerks,"&amp;" Procurement Clerks, Bank Tellers, Financial Clerks, nec, Brokerage Clerks, Court, Municipal, and License Clerks, Credit Authorizers, Checkers, and Clerks, Customer Service Representatives, Eligibility Interviewers, Government Programs, File Clerks, Hotel"&amp;", Motel, and Resort Desk Clerks, Interviewers, Except Eligibility and Loan, Library Assistants, Clerical, Loan Interviewers and Clerks, New Account Clerks, Correspondent clerks and order clerks, Human Resources Assistants, Except Payroll and Timekeeping, "&amp;"Receptionists and Information Clerks, Reservation and Transportation Ticket Agents and Travel Clerks, Information and Record Clerks, All Other, Cargo and Freight Agents, Couriers and Messengers, Dispatchers, Meter Readers, Utilities, Postal Service Clerks"&amp;", Postal Service Mail Carriers, Postal Service Mail Sorters, Processors, and Machine Operators, Production, Planning, and Expediting Clerks, Shipping, Receiving, and Traffic Clerks, Stock Clerks and Order Fillers, Weighers, Measurers, Checkers, and Sample"&amp;"rs, Recordkeeping, Secretaries and Administrative Assistants, Computer Operators, Data Entry Keyers, Word Processors and Typists, Insurance Claims and Policy Processing Clerks, Mail Clerks and Mail Machine Operators, Except Postal Service, Office Clerks, "&amp;"General, Office Machine Operators, Except Computer, Proofreaders and Copy Markers, Statistical Assistants, Office and administrative support workers, nec, First-Line Supervisors of Farming, Fishing, and Forestry Workers, Agricultural Inspectors, Graders a"&amp;"nd Sorters, Agricultural Products, Agricultural workers, nec, Fishing and hunting workers, Forest and Conservation Workers, Logging Workers, First-Line Supervisors of Construction Trades and Extraction Workers, Boilermakers, Brickmasons, Blockmasons, and "&amp;"Stonemasons, Carpenters, Carpet, Floor, and Tile Installers and Finishers, Cement Masons, Concrete Finishers, and Terrazzo Workers, Construction Laborers, Paving, Surfacing, and Tamping Equipment Operators, Construction equipment operators (except paving/"&amp;"surfacing), Drywall Installers, Ceiling Tile Installers, and Tapers, Electricians, Glaziers, Insulation Workers, Painters, Construction and Maintenance, Paperhangers, Pipelayers, Plumbers, Pipefitters, and Steamfitters, Plasterers and Stucco Masons, Reinf"&amp;"orcing Iron and Rebar Workers, Roofers, Sheet Metal Workers, metal-working, Structural Iron and Steel Workers, Helpers, Construction Trades, Construction and Building Inspectors, Elevator Installers and Repairers, Fence Erectors, Hazardous Materials Remov"&amp;"al Workers, Highway Maintenance Workers, Rail-Track Laying and Maintenance Equipment Operators, Construction workers, nec, Derrick, rotary drill, and service unit operators, and roustabouts, Earth Drillers, Except Oil and Gas, Explosives Workers, Ordnance"&amp;" Handling Experts, and Blasters, Mining Machine Operators, Extraction workers, nec, First-Line Supervisors of Mechanics, Installers, and Repairers, Computer, Automated Teller, and Office Machine Repairers, Radio and Telecommunications Equipment Installers"&amp;" and Repairers, Avionics Technicians, Electric Motor, Power Tool, and Related Repairers, Electrical and electronics repairers, transportation and utility, Electronic Equipment Installers and Repairers, Motor Vehicles, Electronic Home Entertainment Equipme"&amp;"nt Installers and Repairers, Electronic Repairs, nec, Security and Fire Alarm Systems Installers, Aircraft Mechanics and Service Technicians, Automotive Body and Related Repairers, Automotive Glass Installers and Repairers, Automotive Service Technicians "&amp;"and Mechanics, Bus and Truck Mechanics and Diesel Engine Specialists, Heavy Vehicle and Mobile Equipment Service Technicians and Mechanics, Small Engine Mechanics, Vehicle and Mobile Equipment Mechanics, Installers, and Repairers, nec, Control and Valve I"&amp;"nstallers and Repairers, Heating, Air Conditioning, and Refrigeration Mechanics and Installers, Home Appliance Repairers, Industrial and Refractory Machinery Mechanics, Maintenance and Repair Workers, General, Maintenance Workers, Machinery, Millwrights, "&amp;"Electrical Power-Line Installers and Repairers, Telecommunications Line Installers and Repairers, Precision Instrument and Equipment Repairers, Coin, Vending, and Amusement Machine Servicers and Repairers, Locksmiths and Safe Repairers, Manufactured Build"&amp;"ing and Mobile Home Installers, Riggers, Helpers—Installation, Maintenance, and Repair Workers, Other Installation, Maintenance, and Repair Workers, First-Line Supervisors of Production and Operating Workers, Aircraft Structure, Surfaces, Rigging, and Sys"&amp;"tems Assemblers, Electrical, Electronics, and Electromechanical Assemblers, Engine and Other Machine Assemblers, Structural Metal Fabricators and Fitters, Assemblers and Fabricators, nec, Bakers, Butchers and Other Meat, Poultry, and Fish Processing Worke"&amp;"rs, Food and Tobacco Roasting, Baking, and Drying Machine Operators, Food Batchmakers, Food Cooking Machine Operators and Tenders, Food Processing, nec, Computer Control Programmers and Operators, Extruding and Drawing Machine Setters, Operators, and Tend"&amp;"ers, Forging Machine Setters, Operators, and Tenders, Rolling Machine Setters, Operators, and Tenders, Cutting, Punching, and Press Machine Setters, Operators, and Tenders, Drilling and Boring Machine Tool Setters, Operators, and Tenders, Grinding, Lappin"&amp;"g, Polishing, and Buffing Machine Tool Setters, Lathe and Turning Machine Tool Setters, Operators, and Tenders, Machinists, Metal Furnace Operators, Tenders, Pourers, and Casters, Model Makers and Patternmakers, Metal and Plastic, Molders and Molding Mach"&amp;"ine Setters, Operators, and Tenders, Tool and Die Makers, Welding, Soldering, and Brazing Workers, Heat Treating Equipment Setters, Operators, and Tenders, Plating and Coating Machine Setters, Operators, and Tenders, Tool Grinders, Filers, and Sharpeners,"&amp;" Metal workers and plastic workers, nec, Bookbinders, Printing Machine Operators, and Job Printers, Prepress Technicians and Workers, Laundry and Dry-Cleaning Workers, Pressers, Textile, Garment, and Related Materials, Sewing Machine Operators, Shoe and L"&amp;"eather Workers and Repairers, Shoe Machine Operators and Tenders, Tailors, Dressmakers, and Sewers, Textile bleaching and dyeing, and cutting machine operators, Textile Knitting and Weaving Machine Operators, Textile Winding, Twisting, and Drawing Out Mac"&amp;"hine Operators, Upholsterers, Textile, Apparel, and Furnishings workers, nec, Cabinetmakers and Bench Carpenters, Furniture Finishers, Sawing Machine Setters, Operators, and Tenders, Wood, Woodworking Machine Operators, Except Sawing, Woodworkers includin"&amp;"g model makers and patternmakers, nec, Power Plant Operators, Distributors, and Dispatchers, Stationary Engineers and Boiler Operators, Water Wastewater Treatment Plant and System Operators, Plant and System Operators, nec, Chemical Processing Machine Set"&amp;"ters, Operators, and Tenders, Crushing, Grinding, Polishing, Mixing, and Blending Workers, Cutting Workers, Extruding, Forming, Pressing, and Compacting Machine Operators, Furnace, Kiln, Oven, Drier, and Kettle Operators and Tenders, Inspectors, Testers, "&amp;"Sorters, Samplers, and Weighers, Jewelers and Precious Stone and Metal Workers, Medical, Dental, and Ophthalmic Laboratory Technicians, Packaging and Filling Machine Operators and Tenders, Painting Workers and Dyers, Photographic Process Workers and Proce"&amp;"ssing Machine Operators, Adhesive Bonding Machine Operators and Tenders, Cleaning, Washing, and Metal Pickling Equipment Operators, Etchers, Engravers, and Lithographers, Molders, Shapers, and Casters, Except Metal and Plastic, Paper Goods Machine Setters"&amp;", Operators, and Tenders, Tire Builders, Helpers—Production Workers, Other production workers (semiconductors, etc.), Supervisors of Transportation and Material Moving Workers, Flight Attendants and Transportation Workers, Bus and Ambulance Drivers and At"&amp;"tendants, Driver/Sales Workers and Truck Drivers, Taxi Drivers and Chauffeurs, Motor Vehicle Operators, All Other, Locomotive Engineers and Operators, Railroad Brake, Signal, and Switch Operators, Railroad Conductors and Yardmasters, Subway, Streetcar, an"&amp;"d Other Rail Transportation Workers, Sailors and marine oilers, and ship engineers, Ship and Boat Captains and Operators, Parking Lot Attendants, Automotive and Watercraft Service Attendants, Transportation Inspectors, Transportation workers, nec, Crane a"&amp;"nd Tower Operators, Dredge, Excavating, and Loading Machine Operators, Conveyor operators and tenders, and hoist and winch operators, Industrial Truck and Tractor Operators, Cleaners of Vehicles and Equipment, Laborers and Freight, Stock, and Material Mov"&amp;"ers, Hand, Machine Feeders and Offbearers, Packers and Packagers, Hand, Pumping Station Operators, Refuse and Recyclable Material Collectors, Material moving workers, nec, First-Line Enlisted Military Supervisors, Military Enlisted Tactical Operations and"&amp;" Air/Weapons Specialists, Military, Rank Not Specified, Unemployed, No Work Experience (5+ years or never)")</f>
        <v>Farmers, Ranchers, and Other Agricultural Managers, Food Service and Lodging Managers, Funeral Directors, Gaming Managers, Property, Real Estate, and Community Association Managers, Agents and Business Managers of Artists, Performers, and Athletes, Buyers and Purchasing Agents, Farm Products, Wholesale and Retail Buyers, Except Farm Products, Purchasing Agents, Except Wholesale, Retail, and Farm Products, Claims Adjusters, Appraisers, Examiners, and Investigators, Compliance Officers, Except Agriculture, Cost Estimators, Human Resources, Training, and Labor Relations Specialists, Logisticians, Management Analysts, Meeting and Convention Planners, Other Business Operations and Management Specialists, Accountants and Auditors, Appraisers and Assessors of Real Estate, Budget Analysts, Credit Analysts, Financial Analysts, Personal Financial Advisors, Insurance Underwriters, Financial Examiners, Credit Counselors and Loan Officers, Tax Examiners and Collectors, and Revenue Agents, Tax Preparers, Financial Specialists, nec, Computer Scientists and Systems Analysts, Computer Programmers, Software Developers, Computer Support Specialists, Database Administrators, Network and Computer Systems Administrators, Actuaries, Surveyors, Cartographers, and Photogrammetrists, Mechanical Engineers, Petroleum, Mining, and Geological Engineers, Engineers, nec, Drafters, Engineering Technicians, Except Drafters, Surveying and Mapping Technicians, Agricultural and Food Science Technicians, Biological Technicians, Chemical Technicians, Geological and Petroleum Technicians, and Nuclear Technicians, Life, Physical, and Social Science Technicians, nec, Professional, Research, or Technical Workers, nec, Community and Social Service Specialists, nec, Religious Workers, nec, Paralegals and Legal Assistants, Legal Support Workers, nec, Preschool and Kindergarten Teachers, Elementary and Middle School Teachers, Secondary School Teachers, Special Education Teachers, Other Teachers and Instructors, Library Technicians, Teacher Assistants, Education, Training, and Library Workers, nec, Artists and Related Workers, Designers, Actors, Producers, and Directors, Athletes, Coaches, Umpires, and Related Workers, Dancers and Choreographers, Musicians, Singers, and Related Workers, Entertainers and Performers, Sports and Related Workers, All Other, Announcers, Editors, News Analysts, Reporters, and Correspondents, Public Relations Specialists, Technical Writers, Writers and Authors, Media and Communication Workers, nec, Broadcast and Sound Engineering Technicians and Media Equipment Workers, Photographers, Television, Video, and Motion Picture Camera Operators and Editors, Registered Nurses, Clinical Laboratory Technologists and Technicians, Dental Hygienists, Diagnostic Related Technologists and Technicians, Emergency Medical Technicians and Paramedics, Health Diagnosing and Treating Practitioner Support Technicians, Licensed Practical and Licensed Vocational Nurses, Medical Records and Health Information Technicians, Opticians, Dispensing, Health Technologists and Technicians, nec, Nursing, Psychiatric, and Home Health Aides, Occupational Therapy Assistants and Aides, Physical Therapist Assistants and Aides, Massage Therapists, Dental Assistants, Medical Assistants, First-Line Supervisors of Correctional Officers, First-Line Supervisors of Police and Detectives, First-Line Supervisors of Fire Fighting and Prevention Workers, Supervisors, Protective Service Workers, All Other, Firefighters, Fire Inspectors, Sheriffs, Bailiffs, Correctional Officers, and Jailers, Police Officers and Detectives, Animal Control, Private Detectives and Investigators, Security Guards and Gaming Surveillance Officers, Crossing Guards, Law enforcement workers, nec, Chefs and Cooks, First-Line Supervisors of Food Preparation and Serving Workers, Food Preparation Workers, Bartenders, Combined Food Preparation and Serving Workers, Including Fast Food, Counter Attendant, Cafeteria, Food Concession, and Coffee Shop, Waiters and Waitresses, Food Servers, Nonrestaurant, Food preparation and serving related workers, nec, Dishwashers, Host and Hostesses, Restaurant, Lounge, and Coffee Shop, First-Line Supervisors of Housekeeping and Janitorial Workers, First-Line Supervisors of Landscaping, Lawn Service, and Groundskeeping Workers, Janitors and Building Cleaners, Maids and Housekeeping Cleaners, Pest Control Workers, Grounds Maintenance Workers, First-Line Supervisors of Gaming Workers, First-Line Supervisors of Personal Service Workers, Animal Trainers, Nonfarm Animal Caretakers, Gaming Services Workers, Ushers, Lobby Attendants, and Ticket Takers, Entertainment Attendants and Related Workers, nec, Funeral Service Workers and Embalmers, Barbers, Hairdressers, Hairstylists, and Cosmetologists, Personal Appearance Workers, nec, Baggage Porters, Bellhops, and Concierges, Tour and Travel Guides, Childcare Workers, Personal Care Aides, Recreation and Fitness Workers, Residential Advisors, Personal Care and Service Workers, All Other, First-Line Supervisors of Sales Workers, Cashiers, Counter and Rental Clerks, Parts Salespersons, Retail Salespersons, Advertising Sales Agents, Insurance Sales Agents, Travel Agents, Sales Representatives, Services, All Other, Sales Representatives, Wholesale and Manufacturing, Models, Demonstrators, and Product Promoters, Real Estate Brokers and Sales Agents, Telemarketers, Door-to-Door Sales Workers, News and Street Vendors, Sales and Related Workers, All Other, First-Line Supervisors of Office and Administrative Support Workers, Switchboard Operators, Including Answering Service, Telephone Operators, Communications Equipment Operators, All Other, Bill and Account Collectors, Billing and Posting Clerks, Bookkeeping, Accounting, and Auditing Clerks, Gaming Cage Workers, Payroll and Timekeeping Clerks, Procurement Clerks, Bank Tellers, Financial Clerks, nec, Brokerage Clerks, Court, Municipal, and License Clerks, Credit Authorizers, Checkers, and Clerks, Customer Service Representatives, Eligibility Interviewers, Government Programs, File Clerks, Hotel, Motel, and Resort Desk Clerks, Interviewers, Except Eligibility and Loan, Library Assistants, Clerical, Loan Interviewers and Clerks, New Account Clerks, Correspondent clerks and order clerks, Human Resources Assistants, Except Payroll and Timekeeping, Receptionists and Information Clerks, Reservation and Transportation Ticket Agents and Travel Clerks, Information and Record Clerks, All Other, Cargo and Freight Agents, Couriers and Messengers, Dispatchers, Meter Readers, Utilities, Postal Service Clerks, Postal Service Mail Carriers, Postal Service Mail Sorters, Processors, and Machine Operators, Production, Planning, and Expediting Clerks, Shipping, Receiving, and Traffic Clerks, Stock Clerks and Order Fillers, Weighers, Measurers, Checkers, and Samplers, Recordkeeping, Secretaries and Administrative Assistants, Computer Operators, Data Entry Keyers, Word Processors and Typists, Insurance Claims and Policy Processing Clerks, Mail Clerks and Mail Machine Operators, Except Postal Service, Office Clerks, General, Office Machine Operators, Except Computer, Proofreaders and Copy Markers, Statistical Assistants, Office and administrative support workers, nec, First-Line Supervisors of Farming, Fishing, and Forestry Workers, Agricultural Inspectors, Graders and Sorters, Agricultural Products, Agricultural workers, nec, Fishing and hunting workers, Forest and Conservation Workers, Logging Workers, First-Line Supervisors of Construction Trades and Extraction Workers, Boilermakers, Brickmasons, Blockmasons, and Stonemasons, Carpenters, Carpet, Floor, and Tile Installers and Finishers, Cement Masons, Concrete Finishers, and Terrazzo Workers, Construction Laborers, Paving, Surfacing, and Tamping Equipment Operators, Construction equipment operators (except paving/surfacing), Drywall Installers, Ceiling Tile Installers, and Tapers, Electricians, Glaziers, Insulation Workers, Painters, Construction and Maintenance, Paperhangers, Pipelayers, Plumbers, Pipefitters, and Steamfitters, Plasterers and Stucco Masons, Reinforcing Iron and Rebar Workers, Roofers, Sheet Metal Workers, metal-working, Structural Iron and Steel Workers, Helpers, Construction Trades, Construction and Building Inspectors, Elevator Installers and Repairers, Fence Erectors, Hazardous Materials Removal Workers, Highway Maintenance Workers, Rail-Track Laying and Maintenance Equipment Operators, Construction workers, nec, Derrick, rotary drill, and service unit operators, and roustabouts, Earth Drillers, Except Oil and Gas, Explosives Workers, Ordnance Handling Experts, and Blasters, Mining Machine Operators, Extraction workers, nec, First-Line Supervisors of Mechanics, Installers, and Repairers, Computer, Automated Teller, and Office Machine Repairers, Radio and Telecommunications Equipment Installers and Repairers, Avionics Technicians, Electric Motor, Power Tool, and Related Repairers, Electrical and electronics repairers, transportation and utility, Electronic Equipment Installers and Repairers, Motor Vehicles, Electronic Home Entertainment Equipment Installers and Repairers, Electronic Repairs, nec, Security and Fire Alarm Systems Installers, Aircraft Mechanics and Service Technicians, Automotive Body and Related Repairers, Automotive Glass Installers and Repairers, Automotive Service Technicians and Mechanics, Bus and Truck Mechanics and Diesel Engine Specialists, Heavy Vehicle and Mobile Equipment Service Technicians and Mechanics, Small Engine Mechanics, Vehicle and Mobile Equipment Mechanics, Installers, and Repairers, nec, Control and Valve Installers and Repairers, Heating, Air Conditioning, and Refrigeration Mechanics and Installers, Home Appliance Repairers, Industrial and Refractory Machinery Mechanics, Maintenance and Repair Workers, General, Maintenance Workers, Machinery, Millwrights, Electrical Power-Line Installers and Repairers, Telecommunications Line Installers and Repairers, Precision Instrument and Equipment Repairers, Coin, Vending, and Amusement Machine Servicers and Repairers, Locksmiths and Safe Repairers, Manufactured Building and Mobile Home Installers, Riggers, Helpers—Installation, Maintenance, and Repair Workers, Other Installation, Maintenance, and Repair Workers, First-Line Supervisors of Production and Operating Workers, Aircraft Structure, Surfaces, Rigging, and Systems Assemblers, Electrical, Electronics, and Electromechanical Assemblers, Engine and Other Machine Assemblers, Structural Metal Fabricators and Fitters, Assemblers and Fabricators, nec, Bakers, Butchers and Other Meat, Poultry, and Fish Processing Workers, Food and Tobacco Roasting, Baking, and Drying Machine Operators, Food Batchmakers, Food Cooking Machine Operators and Tenders, Food Processing, nec, Computer Control Programmers and Operators, Extruding and Drawing Machine Setters, Operators, and Tenders, Forging Machine Setters, Operators, and Tenders, Rolling Machine Setters, Operators, and Tenders, Cutting, Punching, and Press Machine Setters, Operators, and Tenders, Drilling and Boring Machine Tool Setters, Operators, and Tenders, Grinding, Lapping, Polishing, and Buffing Machine Tool Setters, Lathe and Turning Machine Tool Setters, Operators, and Tenders, Machinists, Metal Furnace Operators, Tenders, Pourers, and Casters, Model Makers and Patternmakers, Metal and Plastic, Molders and Molding Machine Setters, Operators, and Tenders, Tool and Die Makers, Welding, Soldering, and Brazing Workers, Heat Treating Equipment Setters, Operators, and Tenders, Plating and Coating Machine Setters, Operators, and Tenders, Tool Grinders, Filers, and Sharpeners, Metal workers and plastic workers, nec, Bookbinders, Printing Machine Operators, and Job Printers, Prepress Technicians and Workers, Laundry and Dry-Cleaning Workers, Pressers, Textile, Garment, and Related Materials, Sewing Machine Operators, Shoe and Leather Workers and Repairers, Shoe Machine Operators and Tenders, Tailors, Dressmakers, and Sewers, Textile bleaching and dyeing, and cutting machine operators, Textile Knitting and Weaving Machine Operators, Textile Winding, Twisting, and Drawing Out Machine Operators, Upholsterers, Textile, Apparel, and Furnishings workers, nec, Cabinetmakers and Bench Carpenters, Furniture Finishers, Sawing Machine Setters, Operators, and Tenders, Wood, Woodworking Machine Operators, Except Sawing, Woodworkers including model makers and patternmakers, nec, Power Plant Operators, Distributors, and Dispatchers, Stationary Engineers and Boiler Operators, Water Wastewater Treatment Plant and System Operators, Plant and System Operators, nec, Chemical Processing Machine Setters, Operators, and Tenders, Crushing, Grinding, Polishing, Mixing, and Blending Workers, Cutting Workers, Extruding, Forming, Pressing, and Compacting Machine Operators, Furnace, Kiln, Oven, Drier, and Kettle Operators and Tenders, Inspectors, Testers, Sorters, Samplers, and Weighers, Jewelers and Precious Stone and Metal Workers, Medical, Dental, and Ophthalmic Laboratory Technicians, Packaging and Filling Machine Operators and Tenders, Painting Workers and Dyers, Photographic Process Workers and Processing Machine Operators, Adhesive Bonding Machine Operators and Tenders, Cleaning, Washing, and Metal Pickling Equipment Operators, Etchers, Engravers, and Lithographers, Molders, Shapers, and Casters, Except Metal and Plastic, Paper Goods Machine Setters, Operators, and Tenders, Tire Builders, Helpers—Production Workers, Other production workers (semiconductors, etc.), Supervisors of Transportation and Material Moving Workers, Flight Attendants and Transportation Workers, Bus and Ambulance Drivers and Attendants, Driver/Sales Workers and Truck Drivers, Taxi Drivers and Chauffeurs, Motor Vehicle Operators, All Other, Locomotive Engineers and Operators, Railroad Brake, Signal, and Switch Operators, Railroad Conductors and Yardmasters, Subway, Streetcar, and Other Rail Transportation Workers, Sailors and marine oilers, and ship engineers, Ship and Boat Captains and Operators, Parking Lot Attendants, Automotive and Watercraft Service Attendants, Transportation Inspectors, Transportation workers, nec, Crane and Tower Operators, Dredge, Excavating, and Loading Machine Operators, Conveyor operators and tenders, and hoist and winch operators, Industrial Truck and Tractor Operators, Cleaners of Vehicles and Equipment, Laborers and Freight, Stock, and Material Movers, Hand, Machine Feeders and Offbearers, Packers and Packagers, Hand, Pumping Station Operators, Refuse and Recyclable Material Collectors, Material moving workers, nec, First-Line Enlisted Military Supervisors, Military Enlisted Tactical Operations and Air/Weapons Specialists, Military, Rank Not Specified, Unemployed, No Work Experience (5+ years or never)</v>
      </c>
    </row>
    <row r="25" ht="18.75" customHeight="1">
      <c r="A25" s="3">
        <v>510.0</v>
      </c>
      <c r="B25" s="3" t="s">
        <v>36</v>
      </c>
      <c r="C25" s="3" t="s">
        <v>5</v>
      </c>
      <c r="D25" s="3" t="s">
        <v>20</v>
      </c>
      <c r="F25" s="2"/>
    </row>
    <row r="26" ht="18.75" customHeight="1">
      <c r="A26" s="3">
        <v>520.0</v>
      </c>
      <c r="B26" s="3" t="s">
        <v>37</v>
      </c>
      <c r="C26" s="3" t="s">
        <v>5</v>
      </c>
      <c r="D26" s="3" t="s">
        <v>20</v>
      </c>
      <c r="F26" s="2"/>
    </row>
    <row r="27" ht="18.75" customHeight="1">
      <c r="A27" s="3">
        <v>530.0</v>
      </c>
      <c r="B27" s="3" t="s">
        <v>38</v>
      </c>
      <c r="C27" s="3" t="s">
        <v>5</v>
      </c>
      <c r="D27" s="3" t="s">
        <v>20</v>
      </c>
      <c r="F27" s="2"/>
    </row>
    <row r="28" ht="18.75" customHeight="1">
      <c r="A28" s="3">
        <v>540.0</v>
      </c>
      <c r="B28" s="3" t="s">
        <v>39</v>
      </c>
      <c r="C28" s="3" t="s">
        <v>5</v>
      </c>
      <c r="D28" s="3" t="s">
        <v>20</v>
      </c>
      <c r="F28" s="2"/>
    </row>
    <row r="29" ht="18.75" customHeight="1">
      <c r="A29" s="3">
        <v>560.0</v>
      </c>
      <c r="B29" s="3" t="s">
        <v>40</v>
      </c>
      <c r="C29" s="3" t="s">
        <v>16</v>
      </c>
      <c r="D29" s="3" t="s">
        <v>20</v>
      </c>
      <c r="F29" s="2"/>
    </row>
    <row r="30" ht="18.75" customHeight="1">
      <c r="A30" s="3">
        <v>600.0</v>
      </c>
      <c r="B30" s="3" t="s">
        <v>41</v>
      </c>
      <c r="C30" s="3" t="s">
        <v>5</v>
      </c>
      <c r="D30" s="3" t="s">
        <v>20</v>
      </c>
      <c r="F30" s="2"/>
    </row>
    <row r="31" ht="18.75" customHeight="1">
      <c r="A31" s="3">
        <v>620.0</v>
      </c>
      <c r="B31" s="3" t="s">
        <v>42</v>
      </c>
      <c r="C31" s="3" t="s">
        <v>5</v>
      </c>
      <c r="D31" s="3" t="s">
        <v>20</v>
      </c>
      <c r="F31" s="2"/>
    </row>
    <row r="32" ht="18.75" customHeight="1">
      <c r="A32" s="3">
        <v>700.0</v>
      </c>
      <c r="B32" s="3" t="s">
        <v>43</v>
      </c>
      <c r="C32" s="3" t="s">
        <v>5</v>
      </c>
      <c r="D32" s="3" t="s">
        <v>20</v>
      </c>
      <c r="F32" s="2"/>
    </row>
    <row r="33" ht="18.75" customHeight="1">
      <c r="A33" s="3">
        <v>710.0</v>
      </c>
      <c r="B33" s="3" t="s">
        <v>44</v>
      </c>
      <c r="C33" s="3" t="s">
        <v>5</v>
      </c>
      <c r="D33" s="3" t="s">
        <v>20</v>
      </c>
      <c r="F33" s="2"/>
    </row>
    <row r="34" ht="18.75" customHeight="1">
      <c r="A34" s="3">
        <v>720.0</v>
      </c>
      <c r="B34" s="3" t="s">
        <v>45</v>
      </c>
      <c r="C34" s="3" t="s">
        <v>5</v>
      </c>
      <c r="D34" s="3" t="s">
        <v>20</v>
      </c>
      <c r="F34" s="2"/>
    </row>
    <row r="35" ht="18.75" customHeight="1">
      <c r="A35" s="3">
        <v>730.0</v>
      </c>
      <c r="B35" s="3" t="s">
        <v>46</v>
      </c>
      <c r="C35" s="3" t="s">
        <v>5</v>
      </c>
      <c r="D35" s="3" t="s">
        <v>20</v>
      </c>
      <c r="F35" s="2"/>
    </row>
    <row r="36" ht="18.75" customHeight="1">
      <c r="A36" s="3">
        <v>800.0</v>
      </c>
      <c r="B36" s="3" t="s">
        <v>47</v>
      </c>
      <c r="C36" s="3" t="s">
        <v>5</v>
      </c>
      <c r="D36" s="3" t="s">
        <v>20</v>
      </c>
      <c r="F36" s="2"/>
    </row>
    <row r="37" ht="18.75" customHeight="1">
      <c r="A37" s="3">
        <v>810.0</v>
      </c>
      <c r="B37" s="3" t="s">
        <v>48</v>
      </c>
      <c r="C37" s="3" t="s">
        <v>5</v>
      </c>
      <c r="D37" s="3" t="s">
        <v>20</v>
      </c>
      <c r="F37" s="2"/>
    </row>
    <row r="38" ht="18.75" customHeight="1">
      <c r="A38" s="3">
        <v>820.0</v>
      </c>
      <c r="B38" s="3" t="s">
        <v>49</v>
      </c>
      <c r="C38" s="3" t="s">
        <v>5</v>
      </c>
      <c r="D38" s="3" t="s">
        <v>20</v>
      </c>
      <c r="F38" s="2"/>
    </row>
    <row r="39" ht="18.75" customHeight="1">
      <c r="A39" s="3">
        <v>830.0</v>
      </c>
      <c r="B39" s="3" t="s">
        <v>50</v>
      </c>
      <c r="C39" s="3" t="s">
        <v>5</v>
      </c>
      <c r="D39" s="3" t="s">
        <v>20</v>
      </c>
      <c r="F39" s="2"/>
    </row>
    <row r="40" ht="18.75" customHeight="1">
      <c r="A40" s="3">
        <v>840.0</v>
      </c>
      <c r="B40" s="3" t="s">
        <v>51</v>
      </c>
      <c r="C40" s="3" t="s">
        <v>5</v>
      </c>
      <c r="D40" s="3" t="s">
        <v>20</v>
      </c>
      <c r="F40" s="2"/>
    </row>
    <row r="41" ht="18.75" customHeight="1">
      <c r="A41" s="3">
        <v>850.0</v>
      </c>
      <c r="B41" s="3" t="s">
        <v>52</v>
      </c>
      <c r="C41" s="3" t="s">
        <v>5</v>
      </c>
      <c r="D41" s="3" t="s">
        <v>20</v>
      </c>
      <c r="F41" s="2"/>
    </row>
    <row r="42" ht="18.75" customHeight="1">
      <c r="A42" s="3">
        <v>860.0</v>
      </c>
      <c r="B42" s="3" t="s">
        <v>53</v>
      </c>
      <c r="C42" s="3" t="s">
        <v>5</v>
      </c>
      <c r="D42" s="3" t="s">
        <v>20</v>
      </c>
      <c r="F42" s="2"/>
    </row>
    <row r="43" ht="18.75" customHeight="1">
      <c r="A43" s="3">
        <v>900.0</v>
      </c>
      <c r="B43" s="3" t="s">
        <v>54</v>
      </c>
      <c r="C43" s="3" t="s">
        <v>5</v>
      </c>
      <c r="D43" s="3" t="s">
        <v>20</v>
      </c>
      <c r="F43" s="2"/>
    </row>
    <row r="44" ht="18.75" customHeight="1">
      <c r="A44" s="3">
        <v>910.0</v>
      </c>
      <c r="B44" s="3" t="s">
        <v>55</v>
      </c>
      <c r="C44" s="3" t="s">
        <v>5</v>
      </c>
      <c r="D44" s="3" t="s">
        <v>20</v>
      </c>
      <c r="F44" s="2"/>
    </row>
    <row r="45" ht="18.75" customHeight="1">
      <c r="A45" s="3">
        <v>930.0</v>
      </c>
      <c r="B45" s="3" t="s">
        <v>56</v>
      </c>
      <c r="C45" s="3" t="s">
        <v>16</v>
      </c>
      <c r="D45" s="3" t="s">
        <v>20</v>
      </c>
      <c r="F45" s="2"/>
    </row>
    <row r="46" ht="18.75" customHeight="1">
      <c r="A46" s="3">
        <v>940.0</v>
      </c>
      <c r="B46" s="3" t="s">
        <v>57</v>
      </c>
      <c r="C46" s="3" t="s">
        <v>5</v>
      </c>
      <c r="D46" s="3" t="s">
        <v>20</v>
      </c>
      <c r="F46" s="2"/>
    </row>
    <row r="47" ht="18.75" customHeight="1">
      <c r="A47" s="3">
        <v>950.0</v>
      </c>
      <c r="B47" s="3" t="s">
        <v>58</v>
      </c>
      <c r="C47" s="3" t="s">
        <v>5</v>
      </c>
      <c r="D47" s="3" t="s">
        <v>20</v>
      </c>
      <c r="F47" s="2"/>
    </row>
    <row r="48" ht="18.75" customHeight="1">
      <c r="A48" s="3">
        <v>1000.0</v>
      </c>
      <c r="B48" s="3" t="s">
        <v>59</v>
      </c>
      <c r="C48" s="3" t="s">
        <v>5</v>
      </c>
      <c r="D48" s="3" t="s">
        <v>20</v>
      </c>
      <c r="F48" s="2"/>
    </row>
    <row r="49" ht="18.75" customHeight="1">
      <c r="A49" s="3">
        <v>1010.0</v>
      </c>
      <c r="B49" s="3" t="s">
        <v>60</v>
      </c>
      <c r="C49" s="3" t="s">
        <v>5</v>
      </c>
      <c r="D49" s="3" t="s">
        <v>20</v>
      </c>
      <c r="F49" s="2"/>
    </row>
    <row r="50" ht="18.75" customHeight="1">
      <c r="A50" s="3">
        <v>1020.0</v>
      </c>
      <c r="B50" s="3" t="s">
        <v>61</v>
      </c>
      <c r="C50" s="3" t="s">
        <v>5</v>
      </c>
      <c r="D50" s="3" t="s">
        <v>20</v>
      </c>
      <c r="F50" s="2"/>
    </row>
    <row r="51" ht="18.75" customHeight="1">
      <c r="A51" s="3">
        <v>1050.0</v>
      </c>
      <c r="B51" s="3" t="s">
        <v>62</v>
      </c>
      <c r="C51" s="3" t="s">
        <v>5</v>
      </c>
      <c r="D51" s="3" t="s">
        <v>20</v>
      </c>
      <c r="F51" s="2"/>
    </row>
    <row r="52" ht="18.75" customHeight="1">
      <c r="A52" s="3">
        <v>1060.0</v>
      </c>
      <c r="B52" s="3" t="s">
        <v>63</v>
      </c>
      <c r="C52" s="3" t="s">
        <v>5</v>
      </c>
      <c r="D52" s="3" t="s">
        <v>20</v>
      </c>
      <c r="F52" s="2"/>
    </row>
    <row r="53" ht="18.75" customHeight="1">
      <c r="A53" s="3">
        <v>1100.0</v>
      </c>
      <c r="B53" s="3" t="s">
        <v>64</v>
      </c>
      <c r="C53" s="3" t="s">
        <v>5</v>
      </c>
      <c r="D53" s="3" t="s">
        <v>20</v>
      </c>
      <c r="F53" s="2"/>
    </row>
    <row r="54" ht="18.75" customHeight="1">
      <c r="A54" s="3">
        <v>1200.0</v>
      </c>
      <c r="B54" s="3" t="s">
        <v>65</v>
      </c>
      <c r="C54" s="3" t="s">
        <v>5</v>
      </c>
      <c r="D54" s="3" t="s">
        <v>20</v>
      </c>
      <c r="F54" s="2"/>
    </row>
    <row r="55" ht="18.75" customHeight="1">
      <c r="A55" s="3">
        <v>1220.0</v>
      </c>
      <c r="B55" s="3" t="s">
        <v>66</v>
      </c>
      <c r="C55" s="3" t="s">
        <v>12</v>
      </c>
      <c r="D55" s="3" t="s">
        <v>6</v>
      </c>
      <c r="F55" s="2"/>
    </row>
    <row r="56" ht="18.75" customHeight="1">
      <c r="A56" s="3">
        <v>1230.0</v>
      </c>
      <c r="B56" s="3" t="s">
        <v>67</v>
      </c>
      <c r="C56" s="3" t="s">
        <v>12</v>
      </c>
      <c r="D56" s="3" t="s">
        <v>6</v>
      </c>
      <c r="F56" s="2"/>
    </row>
    <row r="57" ht="18.75" customHeight="1">
      <c r="A57" s="3">
        <v>1240.0</v>
      </c>
      <c r="B57" s="3" t="s">
        <v>68</v>
      </c>
      <c r="C57" s="3" t="s">
        <v>12</v>
      </c>
      <c r="D57" s="3" t="s">
        <v>6</v>
      </c>
      <c r="F57" s="2"/>
    </row>
    <row r="58" ht="18.75" customHeight="1">
      <c r="A58" s="3">
        <v>1300.0</v>
      </c>
      <c r="B58" s="3" t="s">
        <v>69</v>
      </c>
      <c r="C58" s="3" t="s">
        <v>5</v>
      </c>
      <c r="D58" s="3" t="s">
        <v>6</v>
      </c>
      <c r="F58" s="2"/>
    </row>
    <row r="59" ht="18.75" customHeight="1">
      <c r="A59" s="3">
        <v>1310.0</v>
      </c>
      <c r="B59" s="3" t="s">
        <v>70</v>
      </c>
      <c r="C59" s="3" t="s">
        <v>5</v>
      </c>
      <c r="D59" s="3" t="s">
        <v>20</v>
      </c>
      <c r="F59" s="2"/>
    </row>
    <row r="60" ht="18.75" customHeight="1">
      <c r="A60" s="3">
        <v>1320.0</v>
      </c>
      <c r="B60" s="3" t="s">
        <v>71</v>
      </c>
      <c r="C60" s="3" t="s">
        <v>5</v>
      </c>
      <c r="D60" s="3" t="s">
        <v>6</v>
      </c>
      <c r="F60" s="2"/>
    </row>
    <row r="61" ht="18.75" customHeight="1">
      <c r="A61" s="3">
        <v>1350.0</v>
      </c>
      <c r="B61" s="3" t="s">
        <v>72</v>
      </c>
      <c r="C61" s="3" t="s">
        <v>5</v>
      </c>
      <c r="D61" s="3" t="s">
        <v>6</v>
      </c>
      <c r="F61" s="2"/>
    </row>
    <row r="62" ht="18.75" customHeight="1">
      <c r="A62" s="3">
        <v>1360.0</v>
      </c>
      <c r="B62" s="3" t="s">
        <v>73</v>
      </c>
      <c r="C62" s="3" t="s">
        <v>5</v>
      </c>
      <c r="D62" s="3" t="s">
        <v>6</v>
      </c>
      <c r="F62" s="2"/>
    </row>
    <row r="63" ht="18.75" customHeight="1">
      <c r="A63" s="3">
        <v>1400.0</v>
      </c>
      <c r="B63" s="3" t="s">
        <v>74</v>
      </c>
      <c r="C63" s="3" t="s">
        <v>5</v>
      </c>
      <c r="D63" s="3" t="s">
        <v>6</v>
      </c>
      <c r="F63" s="2"/>
    </row>
    <row r="64" ht="18.75" customHeight="1">
      <c r="A64" s="3">
        <v>1410.0</v>
      </c>
      <c r="B64" s="3" t="s">
        <v>75</v>
      </c>
      <c r="C64" s="3" t="s">
        <v>5</v>
      </c>
      <c r="D64" s="3" t="s">
        <v>6</v>
      </c>
      <c r="F64" s="2"/>
    </row>
    <row r="65" ht="18.75" customHeight="1">
      <c r="A65" s="3">
        <v>1420.0</v>
      </c>
      <c r="B65" s="3" t="s">
        <v>76</v>
      </c>
      <c r="C65" s="3" t="s">
        <v>12</v>
      </c>
      <c r="D65" s="3" t="s">
        <v>6</v>
      </c>
      <c r="F65" s="2"/>
    </row>
    <row r="66" ht="18.75" customHeight="1">
      <c r="A66" s="3">
        <v>1430.0</v>
      </c>
      <c r="B66" s="3" t="s">
        <v>77</v>
      </c>
      <c r="C66" s="3" t="s">
        <v>5</v>
      </c>
      <c r="D66" s="3" t="s">
        <v>6</v>
      </c>
      <c r="F66" s="2"/>
    </row>
    <row r="67" ht="18.75" customHeight="1">
      <c r="A67" s="3">
        <v>1440.0</v>
      </c>
      <c r="B67" s="3" t="s">
        <v>78</v>
      </c>
      <c r="C67" s="3" t="s">
        <v>5</v>
      </c>
      <c r="D67" s="3" t="s">
        <v>6</v>
      </c>
      <c r="F67" s="2"/>
    </row>
    <row r="68" ht="18.75" customHeight="1">
      <c r="A68" s="3">
        <v>1450.0</v>
      </c>
      <c r="B68" s="3" t="s">
        <v>79</v>
      </c>
      <c r="C68" s="3" t="s">
        <v>5</v>
      </c>
      <c r="D68" s="3" t="s">
        <v>6</v>
      </c>
      <c r="F68" s="2"/>
    </row>
    <row r="69" ht="18.75" customHeight="1">
      <c r="A69" s="3">
        <v>1460.0</v>
      </c>
      <c r="B69" s="3" t="s">
        <v>80</v>
      </c>
      <c r="C69" s="3" t="s">
        <v>5</v>
      </c>
      <c r="D69" s="3" t="s">
        <v>20</v>
      </c>
      <c r="F69" s="2"/>
    </row>
    <row r="70" ht="18.75" customHeight="1">
      <c r="A70" s="3">
        <v>1520.0</v>
      </c>
      <c r="B70" s="3" t="s">
        <v>81</v>
      </c>
      <c r="C70" s="3" t="s">
        <v>5</v>
      </c>
      <c r="D70" s="3" t="s">
        <v>20</v>
      </c>
      <c r="F70" s="2"/>
    </row>
    <row r="71" ht="18.75" customHeight="1">
      <c r="A71" s="3">
        <v>1530.0</v>
      </c>
      <c r="B71" s="3" t="s">
        <v>82</v>
      </c>
      <c r="C71" s="3" t="s">
        <v>5</v>
      </c>
      <c r="D71" s="3" t="s">
        <v>20</v>
      </c>
      <c r="F71" s="2"/>
    </row>
    <row r="72" ht="18.75" customHeight="1">
      <c r="A72" s="3">
        <v>1540.0</v>
      </c>
      <c r="B72" s="3" t="s">
        <v>83</v>
      </c>
      <c r="C72" s="3" t="s">
        <v>5</v>
      </c>
      <c r="D72" s="3" t="s">
        <v>20</v>
      </c>
      <c r="F72" s="2"/>
    </row>
    <row r="73" ht="18.75" customHeight="1">
      <c r="A73" s="3">
        <v>1550.0</v>
      </c>
      <c r="B73" s="3" t="s">
        <v>84</v>
      </c>
      <c r="C73" s="3" t="s">
        <v>5</v>
      </c>
      <c r="D73" s="3" t="s">
        <v>20</v>
      </c>
      <c r="F73" s="2"/>
    </row>
    <row r="74" ht="18.75" customHeight="1">
      <c r="A74" s="3">
        <v>1560.0</v>
      </c>
      <c r="B74" s="3" t="s">
        <v>85</v>
      </c>
      <c r="C74" s="3" t="s">
        <v>5</v>
      </c>
      <c r="D74" s="3" t="s">
        <v>20</v>
      </c>
      <c r="F74" s="2"/>
    </row>
    <row r="75" ht="18.75" customHeight="1">
      <c r="A75" s="3">
        <v>1600.0</v>
      </c>
      <c r="B75" s="3" t="s">
        <v>86</v>
      </c>
      <c r="C75" s="3" t="s">
        <v>12</v>
      </c>
      <c r="D75" s="3" t="s">
        <v>6</v>
      </c>
      <c r="F75" s="2"/>
    </row>
    <row r="76" ht="18.75" customHeight="1">
      <c r="A76" s="3">
        <v>1610.0</v>
      </c>
      <c r="B76" s="3" t="s">
        <v>87</v>
      </c>
      <c r="C76" s="3" t="s">
        <v>12</v>
      </c>
      <c r="D76" s="3" t="s">
        <v>6</v>
      </c>
      <c r="F76" s="2"/>
    </row>
    <row r="77" ht="18.75" customHeight="1">
      <c r="A77" s="3">
        <v>1640.0</v>
      </c>
      <c r="B77" s="3" t="s">
        <v>88</v>
      </c>
      <c r="C77" s="3" t="s">
        <v>12</v>
      </c>
      <c r="D77" s="3" t="s">
        <v>6</v>
      </c>
      <c r="F77" s="2"/>
    </row>
    <row r="78" ht="18.75" customHeight="1">
      <c r="A78" s="3">
        <v>1650.0</v>
      </c>
      <c r="B78" s="3" t="s">
        <v>89</v>
      </c>
      <c r="C78" s="3" t="s">
        <v>21</v>
      </c>
      <c r="D78" s="3" t="s">
        <v>6</v>
      </c>
      <c r="F78" s="2"/>
    </row>
    <row r="79" ht="18.75" customHeight="1">
      <c r="A79" s="3">
        <v>1700.0</v>
      </c>
      <c r="B79" s="3" t="s">
        <v>90</v>
      </c>
      <c r="C79" s="3" t="s">
        <v>12</v>
      </c>
      <c r="D79" s="3" t="s">
        <v>6</v>
      </c>
      <c r="F79" s="2"/>
    </row>
    <row r="80" ht="18.75" customHeight="1">
      <c r="A80" s="3">
        <v>1710.0</v>
      </c>
      <c r="B80" s="3" t="s">
        <v>91</v>
      </c>
      <c r="C80" s="3" t="s">
        <v>12</v>
      </c>
      <c r="D80" s="3" t="s">
        <v>6</v>
      </c>
      <c r="F80" s="2"/>
    </row>
    <row r="81" ht="18.75" customHeight="1">
      <c r="A81" s="3">
        <v>1720.0</v>
      </c>
      <c r="B81" s="3" t="s">
        <v>92</v>
      </c>
      <c r="C81" s="3" t="s">
        <v>12</v>
      </c>
      <c r="D81" s="3" t="s">
        <v>6</v>
      </c>
      <c r="F81" s="2"/>
    </row>
    <row r="82" ht="18.75" customHeight="1">
      <c r="A82" s="3">
        <v>1740.0</v>
      </c>
      <c r="B82" s="3" t="s">
        <v>93</v>
      </c>
      <c r="C82" s="3" t="s">
        <v>12</v>
      </c>
      <c r="D82" s="3" t="s">
        <v>6</v>
      </c>
      <c r="F82" s="2"/>
    </row>
    <row r="83" ht="18.75" customHeight="1">
      <c r="A83" s="3">
        <v>1760.0</v>
      </c>
      <c r="B83" s="3" t="s">
        <v>94</v>
      </c>
      <c r="C83" s="3" t="s">
        <v>12</v>
      </c>
      <c r="D83" s="3" t="s">
        <v>6</v>
      </c>
      <c r="F83" s="2"/>
    </row>
    <row r="84" ht="18.75" customHeight="1">
      <c r="A84" s="3">
        <v>1800.0</v>
      </c>
      <c r="B84" s="3" t="s">
        <v>95</v>
      </c>
      <c r="C84" s="3" t="s">
        <v>5</v>
      </c>
      <c r="D84" s="3" t="s">
        <v>6</v>
      </c>
      <c r="F84" s="2"/>
    </row>
    <row r="85" ht="18.75" customHeight="1">
      <c r="A85" s="3">
        <v>1820.0</v>
      </c>
      <c r="B85" s="3" t="s">
        <v>96</v>
      </c>
      <c r="C85" s="3" t="s">
        <v>12</v>
      </c>
      <c r="D85" s="3" t="s">
        <v>6</v>
      </c>
      <c r="F85" s="2"/>
    </row>
    <row r="86" ht="18.75" customHeight="1">
      <c r="A86" s="3">
        <v>1830.0</v>
      </c>
      <c r="B86" s="3" t="s">
        <v>97</v>
      </c>
      <c r="C86" s="3" t="s">
        <v>5</v>
      </c>
      <c r="D86" s="3" t="s">
        <v>6</v>
      </c>
      <c r="F86" s="2"/>
    </row>
    <row r="87" ht="18.75" customHeight="1">
      <c r="A87" s="3">
        <v>1840.0</v>
      </c>
      <c r="B87" s="3" t="s">
        <v>98</v>
      </c>
      <c r="C87" s="3" t="s">
        <v>12</v>
      </c>
      <c r="D87" s="3" t="s">
        <v>6</v>
      </c>
      <c r="F87" s="2"/>
    </row>
    <row r="88" ht="18.75" customHeight="1">
      <c r="A88" s="3">
        <v>1900.0</v>
      </c>
      <c r="B88" s="3" t="s">
        <v>99</v>
      </c>
      <c r="C88" s="3" t="s">
        <v>12</v>
      </c>
      <c r="D88" s="3" t="s">
        <v>20</v>
      </c>
      <c r="F88" s="2"/>
    </row>
    <row r="89" ht="18.75" customHeight="1">
      <c r="A89" s="3">
        <v>1910.0</v>
      </c>
      <c r="B89" s="3" t="s">
        <v>100</v>
      </c>
      <c r="C89" s="3" t="s">
        <v>12</v>
      </c>
      <c r="D89" s="3" t="s">
        <v>20</v>
      </c>
      <c r="F89" s="2"/>
    </row>
    <row r="90" ht="18.75" customHeight="1">
      <c r="A90" s="3">
        <v>1920.0</v>
      </c>
      <c r="B90" s="3" t="s">
        <v>101</v>
      </c>
      <c r="C90" s="3" t="s">
        <v>12</v>
      </c>
      <c r="D90" s="3" t="s">
        <v>20</v>
      </c>
      <c r="F90" s="2"/>
    </row>
    <row r="91" ht="18.75" customHeight="1">
      <c r="A91" s="3">
        <v>1930.0</v>
      </c>
      <c r="B91" s="3" t="s">
        <v>102</v>
      </c>
      <c r="C91" s="3" t="s">
        <v>5</v>
      </c>
      <c r="D91" s="3" t="s">
        <v>20</v>
      </c>
      <c r="F91" s="2"/>
    </row>
    <row r="92" ht="18.75" customHeight="1">
      <c r="A92" s="3">
        <v>1960.0</v>
      </c>
      <c r="B92" s="3" t="s">
        <v>103</v>
      </c>
      <c r="C92" s="3" t="s">
        <v>12</v>
      </c>
      <c r="D92" s="3" t="s">
        <v>20</v>
      </c>
      <c r="F92" s="2"/>
    </row>
    <row r="93" ht="18.75" customHeight="1">
      <c r="A93" s="3">
        <v>1980.0</v>
      </c>
      <c r="B93" s="3" t="s">
        <v>104</v>
      </c>
      <c r="C93" s="3" t="s">
        <v>12</v>
      </c>
      <c r="D93" s="3" t="s">
        <v>20</v>
      </c>
      <c r="F93" s="2"/>
    </row>
    <row r="94" ht="18.75" customHeight="1">
      <c r="A94" s="3">
        <v>2000.0</v>
      </c>
      <c r="B94" s="3" t="s">
        <v>105</v>
      </c>
      <c r="C94" s="3" t="s">
        <v>16</v>
      </c>
      <c r="D94" s="3" t="s">
        <v>6</v>
      </c>
      <c r="F94" s="2"/>
    </row>
    <row r="95" ht="18.75" customHeight="1">
      <c r="A95" s="3">
        <v>2010.0</v>
      </c>
      <c r="B95" s="3" t="s">
        <v>106</v>
      </c>
      <c r="C95" s="3" t="s">
        <v>16</v>
      </c>
      <c r="D95" s="3" t="s">
        <v>6</v>
      </c>
      <c r="F95" s="2"/>
    </row>
    <row r="96" ht="18.75" customHeight="1">
      <c r="A96" s="3">
        <v>2020.0</v>
      </c>
      <c r="B96" s="3" t="s">
        <v>107</v>
      </c>
      <c r="C96" s="3" t="s">
        <v>16</v>
      </c>
      <c r="D96" s="3" t="s">
        <v>20</v>
      </c>
      <c r="F96" s="2"/>
    </row>
    <row r="97" ht="18.75" customHeight="1">
      <c r="A97" s="3">
        <v>2040.0</v>
      </c>
      <c r="B97" s="3" t="s">
        <v>108</v>
      </c>
      <c r="C97" s="3" t="s">
        <v>16</v>
      </c>
      <c r="D97" s="3" t="s">
        <v>6</v>
      </c>
      <c r="F97" s="2"/>
    </row>
    <row r="98" ht="18.75" customHeight="1">
      <c r="A98" s="3">
        <v>2050.0</v>
      </c>
      <c r="B98" s="3" t="s">
        <v>109</v>
      </c>
      <c r="C98" s="3" t="s">
        <v>16</v>
      </c>
      <c r="D98" s="3" t="s">
        <v>6</v>
      </c>
      <c r="F98" s="2"/>
    </row>
    <row r="99" ht="18.75" customHeight="1">
      <c r="A99" s="3">
        <v>2060.0</v>
      </c>
      <c r="B99" s="3" t="s">
        <v>110</v>
      </c>
      <c r="C99" s="3" t="s">
        <v>16</v>
      </c>
      <c r="D99" s="3" t="s">
        <v>20</v>
      </c>
      <c r="F99" s="2"/>
    </row>
    <row r="100" ht="18.75" customHeight="1">
      <c r="A100" s="3">
        <v>2100.0</v>
      </c>
      <c r="B100" s="3" t="s">
        <v>111</v>
      </c>
      <c r="C100" s="3" t="s">
        <v>16</v>
      </c>
      <c r="D100" s="3" t="s">
        <v>6</v>
      </c>
      <c r="F100" s="2"/>
    </row>
    <row r="101" ht="18.75" customHeight="1">
      <c r="A101" s="3">
        <v>2140.0</v>
      </c>
      <c r="B101" s="3" t="s">
        <v>112</v>
      </c>
      <c r="C101" s="3" t="s">
        <v>16</v>
      </c>
      <c r="D101" s="3" t="s">
        <v>20</v>
      </c>
      <c r="F101" s="2"/>
    </row>
    <row r="102" ht="18.75" customHeight="1">
      <c r="A102" s="3">
        <v>2150.0</v>
      </c>
      <c r="B102" s="3" t="s">
        <v>113</v>
      </c>
      <c r="C102" s="3" t="s">
        <v>16</v>
      </c>
      <c r="D102" s="3" t="s">
        <v>20</v>
      </c>
      <c r="F102" s="2"/>
    </row>
    <row r="103" ht="18.75" customHeight="1">
      <c r="A103" s="3">
        <v>2200.0</v>
      </c>
      <c r="B103" s="3" t="s">
        <v>114</v>
      </c>
      <c r="C103" s="3" t="s">
        <v>12</v>
      </c>
      <c r="D103" s="3" t="s">
        <v>6</v>
      </c>
      <c r="F103" s="2"/>
    </row>
    <row r="104" ht="18.75" customHeight="1">
      <c r="A104" s="3">
        <v>2300.0</v>
      </c>
      <c r="B104" s="3" t="s">
        <v>115</v>
      </c>
      <c r="C104" s="3" t="s">
        <v>12</v>
      </c>
      <c r="D104" s="3" t="s">
        <v>20</v>
      </c>
      <c r="F104" s="2"/>
    </row>
    <row r="105" ht="18.75" customHeight="1">
      <c r="A105" s="3">
        <v>2310.0</v>
      </c>
      <c r="B105" s="3" t="s">
        <v>116</v>
      </c>
      <c r="C105" s="3" t="s">
        <v>12</v>
      </c>
      <c r="D105" s="3" t="s">
        <v>20</v>
      </c>
      <c r="F105" s="2"/>
    </row>
    <row r="106" ht="18.75" customHeight="1">
      <c r="A106" s="3">
        <v>2320.0</v>
      </c>
      <c r="B106" s="3" t="s">
        <v>117</v>
      </c>
      <c r="C106" s="3" t="s">
        <v>12</v>
      </c>
      <c r="D106" s="3" t="s">
        <v>20</v>
      </c>
      <c r="F106" s="2"/>
    </row>
    <row r="107" ht="18.75" customHeight="1">
      <c r="A107" s="3">
        <v>2330.0</v>
      </c>
      <c r="B107" s="3" t="s">
        <v>118</v>
      </c>
      <c r="C107" s="3" t="s">
        <v>12</v>
      </c>
      <c r="D107" s="3" t="s">
        <v>20</v>
      </c>
      <c r="F107" s="2"/>
    </row>
    <row r="108" ht="18.75" customHeight="1">
      <c r="A108" s="3">
        <v>2340.0</v>
      </c>
      <c r="B108" s="3" t="s">
        <v>119</v>
      </c>
      <c r="C108" s="3" t="s">
        <v>12</v>
      </c>
      <c r="D108" s="3" t="s">
        <v>20</v>
      </c>
      <c r="F108" s="2"/>
    </row>
    <row r="109" ht="18.75" customHeight="1">
      <c r="A109" s="3">
        <v>2400.0</v>
      </c>
      <c r="B109" s="3" t="s">
        <v>120</v>
      </c>
      <c r="C109" s="3" t="s">
        <v>12</v>
      </c>
      <c r="D109" s="3" t="s">
        <v>6</v>
      </c>
      <c r="F109" s="2"/>
    </row>
    <row r="110" ht="18.75" customHeight="1">
      <c r="A110" s="3">
        <v>2430.0</v>
      </c>
      <c r="B110" s="3" t="s">
        <v>121</v>
      </c>
      <c r="C110" s="3" t="s">
        <v>12</v>
      </c>
      <c r="D110" s="3" t="s">
        <v>6</v>
      </c>
      <c r="F110" s="2"/>
    </row>
    <row r="111" ht="18.75" customHeight="1">
      <c r="A111" s="3">
        <v>2440.0</v>
      </c>
      <c r="B111" s="3" t="s">
        <v>122</v>
      </c>
      <c r="C111" s="3" t="s">
        <v>12</v>
      </c>
      <c r="D111" s="3" t="s">
        <v>20</v>
      </c>
      <c r="F111" s="2"/>
    </row>
    <row r="112" ht="18.75" customHeight="1">
      <c r="A112" s="3">
        <v>2540.0</v>
      </c>
      <c r="B112" s="3" t="s">
        <v>123</v>
      </c>
      <c r="C112" s="3" t="s">
        <v>12</v>
      </c>
      <c r="D112" s="3" t="s">
        <v>20</v>
      </c>
      <c r="F112" s="2"/>
    </row>
    <row r="113" ht="18.75" customHeight="1">
      <c r="A113" s="3">
        <v>2550.0</v>
      </c>
      <c r="B113" s="3" t="s">
        <v>124</v>
      </c>
      <c r="C113" s="3" t="s">
        <v>12</v>
      </c>
      <c r="D113" s="3" t="s">
        <v>20</v>
      </c>
      <c r="F113" s="2"/>
    </row>
    <row r="114" ht="18.75" customHeight="1">
      <c r="A114" s="3">
        <v>2600.0</v>
      </c>
      <c r="B114" s="3" t="s">
        <v>125</v>
      </c>
      <c r="C114" s="3" t="s">
        <v>5</v>
      </c>
      <c r="D114" s="3" t="s">
        <v>20</v>
      </c>
      <c r="F114" s="2"/>
    </row>
    <row r="115" ht="18.75" customHeight="1">
      <c r="A115" s="3">
        <v>2630.0</v>
      </c>
      <c r="B115" s="3" t="s">
        <v>126</v>
      </c>
      <c r="C115" s="3" t="s">
        <v>5</v>
      </c>
      <c r="D115" s="3" t="s">
        <v>20</v>
      </c>
      <c r="F115" s="2"/>
    </row>
    <row r="116" ht="18.75" customHeight="1">
      <c r="A116" s="3">
        <v>2700.0</v>
      </c>
      <c r="B116" s="3" t="s">
        <v>127</v>
      </c>
      <c r="C116" s="3" t="s">
        <v>5</v>
      </c>
      <c r="D116" s="3" t="s">
        <v>20</v>
      </c>
      <c r="F116" s="2"/>
    </row>
    <row r="117" ht="18.75" customHeight="1">
      <c r="A117" s="3">
        <v>2720.0</v>
      </c>
      <c r="B117" s="3" t="s">
        <v>128</v>
      </c>
      <c r="C117" s="3" t="s">
        <v>5</v>
      </c>
      <c r="D117" s="3" t="s">
        <v>20</v>
      </c>
      <c r="F117" s="2"/>
    </row>
    <row r="118" ht="18.75" customHeight="1">
      <c r="A118" s="3">
        <v>2740.0</v>
      </c>
      <c r="B118" s="3" t="s">
        <v>129</v>
      </c>
      <c r="C118" s="3" t="s">
        <v>5</v>
      </c>
      <c r="D118" s="3" t="s">
        <v>20</v>
      </c>
      <c r="F118" s="2"/>
    </row>
    <row r="119" ht="18.75" customHeight="1">
      <c r="A119" s="3">
        <v>2750.0</v>
      </c>
      <c r="B119" s="3" t="s">
        <v>130</v>
      </c>
      <c r="C119" s="3" t="s">
        <v>5</v>
      </c>
      <c r="D119" s="3" t="s">
        <v>20</v>
      </c>
      <c r="F119" s="2"/>
    </row>
    <row r="120" ht="18.75" customHeight="1">
      <c r="A120" s="3">
        <v>2760.0</v>
      </c>
      <c r="B120" s="3" t="s">
        <v>131</v>
      </c>
      <c r="C120" s="3" t="s">
        <v>5</v>
      </c>
      <c r="D120" s="3" t="s">
        <v>20</v>
      </c>
      <c r="F120" s="2"/>
    </row>
    <row r="121" ht="18.75" customHeight="1">
      <c r="A121" s="3">
        <v>2800.0</v>
      </c>
      <c r="B121" s="3" t="s">
        <v>132</v>
      </c>
      <c r="C121" s="3" t="s">
        <v>5</v>
      </c>
      <c r="D121" s="3" t="s">
        <v>20</v>
      </c>
      <c r="F121" s="2"/>
    </row>
    <row r="122" ht="18.75" customHeight="1">
      <c r="A122" s="3">
        <v>2810.0</v>
      </c>
      <c r="B122" s="3" t="s">
        <v>133</v>
      </c>
      <c r="C122" s="3" t="s">
        <v>5</v>
      </c>
      <c r="D122" s="3" t="s">
        <v>20</v>
      </c>
      <c r="F122" s="2"/>
    </row>
    <row r="123" ht="18.75" customHeight="1">
      <c r="A123" s="3">
        <v>2825.0</v>
      </c>
      <c r="B123" s="3" t="s">
        <v>134</v>
      </c>
      <c r="C123" s="3" t="s">
        <v>5</v>
      </c>
      <c r="D123" s="3" t="s">
        <v>20</v>
      </c>
      <c r="F123" s="2"/>
    </row>
    <row r="124" ht="18.75" customHeight="1">
      <c r="A124" s="3">
        <v>2840.0</v>
      </c>
      <c r="B124" s="3" t="s">
        <v>135</v>
      </c>
      <c r="C124" s="3" t="s">
        <v>5</v>
      </c>
      <c r="D124" s="3" t="s">
        <v>20</v>
      </c>
      <c r="F124" s="2"/>
    </row>
    <row r="125" ht="18.75" customHeight="1">
      <c r="A125" s="3">
        <v>2850.0</v>
      </c>
      <c r="B125" s="3" t="s">
        <v>136</v>
      </c>
      <c r="C125" s="3" t="s">
        <v>5</v>
      </c>
      <c r="D125" s="3" t="s">
        <v>20</v>
      </c>
      <c r="F125" s="2"/>
    </row>
    <row r="126" ht="18.75" customHeight="1">
      <c r="A126" s="3">
        <v>2860.0</v>
      </c>
      <c r="B126" s="3" t="s">
        <v>137</v>
      </c>
      <c r="C126" s="3" t="s">
        <v>5</v>
      </c>
      <c r="D126" s="3" t="s">
        <v>20</v>
      </c>
      <c r="F126" s="2"/>
    </row>
    <row r="127" ht="18.75" customHeight="1">
      <c r="A127" s="3">
        <v>2900.0</v>
      </c>
      <c r="B127" s="3" t="s">
        <v>138</v>
      </c>
      <c r="C127" s="3" t="s">
        <v>5</v>
      </c>
      <c r="D127" s="3" t="s">
        <v>20</v>
      </c>
      <c r="F127" s="2"/>
    </row>
    <row r="128" ht="18.75" customHeight="1">
      <c r="A128" s="3">
        <v>2910.0</v>
      </c>
      <c r="B128" s="3" t="s">
        <v>139</v>
      </c>
      <c r="C128" s="3" t="s">
        <v>5</v>
      </c>
      <c r="D128" s="3" t="s">
        <v>20</v>
      </c>
      <c r="F128" s="2"/>
    </row>
    <row r="129" ht="18.75" customHeight="1">
      <c r="A129" s="3">
        <v>2920.0</v>
      </c>
      <c r="B129" s="3" t="s">
        <v>140</v>
      </c>
      <c r="C129" s="3" t="s">
        <v>5</v>
      </c>
      <c r="D129" s="3" t="s">
        <v>20</v>
      </c>
      <c r="F129" s="2"/>
    </row>
    <row r="130" ht="18.75" customHeight="1">
      <c r="A130" s="3">
        <v>3000.0</v>
      </c>
      <c r="B130" s="3" t="s">
        <v>141</v>
      </c>
      <c r="C130" s="3" t="s">
        <v>21</v>
      </c>
      <c r="D130" s="3" t="s">
        <v>6</v>
      </c>
      <c r="F130" s="2"/>
    </row>
    <row r="131" ht="18.75" customHeight="1">
      <c r="A131" s="3">
        <v>3010.0</v>
      </c>
      <c r="B131" s="3" t="s">
        <v>142</v>
      </c>
      <c r="C131" s="3" t="s">
        <v>21</v>
      </c>
      <c r="D131" s="3" t="s">
        <v>6</v>
      </c>
      <c r="F131" s="2"/>
    </row>
    <row r="132" ht="18.75" customHeight="1">
      <c r="A132" s="3">
        <v>3030.0</v>
      </c>
      <c r="B132" s="3" t="s">
        <v>143</v>
      </c>
      <c r="C132" s="3" t="s">
        <v>21</v>
      </c>
      <c r="D132" s="3" t="s">
        <v>6</v>
      </c>
      <c r="F132" s="2"/>
    </row>
    <row r="133" ht="18.75" customHeight="1">
      <c r="A133" s="3">
        <v>3040.0</v>
      </c>
      <c r="B133" s="3" t="s">
        <v>144</v>
      </c>
      <c r="C133" s="3" t="s">
        <v>21</v>
      </c>
      <c r="D133" s="3" t="s">
        <v>6</v>
      </c>
      <c r="F133" s="2"/>
    </row>
    <row r="134" ht="18.75" customHeight="1">
      <c r="A134" s="3">
        <v>3050.0</v>
      </c>
      <c r="B134" s="3" t="s">
        <v>145</v>
      </c>
      <c r="C134" s="3" t="s">
        <v>21</v>
      </c>
      <c r="D134" s="3" t="s">
        <v>6</v>
      </c>
      <c r="F134" s="2"/>
    </row>
    <row r="135" ht="18.75" customHeight="1">
      <c r="A135" s="3">
        <v>3060.0</v>
      </c>
      <c r="B135" s="3" t="s">
        <v>146</v>
      </c>
      <c r="C135" s="3" t="s">
        <v>21</v>
      </c>
      <c r="D135" s="3" t="s">
        <v>6</v>
      </c>
      <c r="F135" s="2"/>
    </row>
    <row r="136" ht="18.75" customHeight="1">
      <c r="A136" s="3">
        <v>3110.0</v>
      </c>
      <c r="B136" s="3" t="s">
        <v>147</v>
      </c>
      <c r="C136" s="3" t="s">
        <v>21</v>
      </c>
      <c r="D136" s="3" t="s">
        <v>6</v>
      </c>
      <c r="F136" s="2"/>
    </row>
    <row r="137" ht="18.75" customHeight="1">
      <c r="A137" s="3">
        <v>3120.0</v>
      </c>
      <c r="B137" s="3" t="s">
        <v>148</v>
      </c>
      <c r="C137" s="3" t="s">
        <v>21</v>
      </c>
      <c r="D137" s="3" t="s">
        <v>6</v>
      </c>
      <c r="F137" s="2"/>
    </row>
    <row r="138" ht="18.75" customHeight="1">
      <c r="A138" s="3">
        <v>3130.0</v>
      </c>
      <c r="B138" s="3" t="s">
        <v>149</v>
      </c>
      <c r="C138" s="3" t="s">
        <v>21</v>
      </c>
      <c r="D138" s="3" t="s">
        <v>20</v>
      </c>
      <c r="F138" s="2"/>
    </row>
    <row r="139" ht="18.75" customHeight="1">
      <c r="A139" s="3">
        <v>3140.0</v>
      </c>
      <c r="B139" s="3" t="s">
        <v>150</v>
      </c>
      <c r="C139" s="3" t="s">
        <v>21</v>
      </c>
      <c r="D139" s="3" t="s">
        <v>6</v>
      </c>
      <c r="F139" s="2"/>
    </row>
    <row r="140" ht="18.75" customHeight="1">
      <c r="A140" s="3">
        <v>3150.0</v>
      </c>
      <c r="B140" s="3" t="s">
        <v>151</v>
      </c>
      <c r="C140" s="3" t="s">
        <v>21</v>
      </c>
      <c r="D140" s="3" t="s">
        <v>6</v>
      </c>
      <c r="F140" s="2"/>
    </row>
    <row r="141" ht="18.75" customHeight="1">
      <c r="A141" s="3">
        <v>3160.0</v>
      </c>
      <c r="B141" s="3" t="s">
        <v>152</v>
      </c>
      <c r="C141" s="3" t="s">
        <v>21</v>
      </c>
      <c r="D141" s="3" t="s">
        <v>6</v>
      </c>
      <c r="F141" s="2"/>
    </row>
    <row r="142" ht="18.75" customHeight="1">
      <c r="A142" s="3">
        <v>3200.0</v>
      </c>
      <c r="B142" s="3" t="s">
        <v>153</v>
      </c>
      <c r="C142" s="3" t="s">
        <v>21</v>
      </c>
      <c r="D142" s="3" t="s">
        <v>6</v>
      </c>
      <c r="F142" s="2"/>
    </row>
    <row r="143" ht="18.75" customHeight="1">
      <c r="A143" s="3">
        <v>3210.0</v>
      </c>
      <c r="B143" s="3" t="s">
        <v>154</v>
      </c>
      <c r="C143" s="3" t="s">
        <v>21</v>
      </c>
      <c r="D143" s="3" t="s">
        <v>6</v>
      </c>
      <c r="F143" s="2"/>
    </row>
    <row r="144" ht="18.75" customHeight="1">
      <c r="A144" s="3">
        <v>3220.0</v>
      </c>
      <c r="B144" s="3" t="s">
        <v>155</v>
      </c>
      <c r="C144" s="3" t="s">
        <v>21</v>
      </c>
      <c r="D144" s="3" t="s">
        <v>6</v>
      </c>
      <c r="F144" s="2"/>
    </row>
    <row r="145" ht="18.75" customHeight="1">
      <c r="A145" s="3">
        <v>3230.0</v>
      </c>
      <c r="B145" s="3" t="s">
        <v>156</v>
      </c>
      <c r="C145" s="3" t="s">
        <v>21</v>
      </c>
      <c r="D145" s="3" t="s">
        <v>6</v>
      </c>
      <c r="F145" s="2"/>
    </row>
    <row r="146" ht="18.75" customHeight="1">
      <c r="A146" s="3">
        <v>3240.0</v>
      </c>
      <c r="B146" s="3" t="s">
        <v>157</v>
      </c>
      <c r="C146" s="3" t="s">
        <v>21</v>
      </c>
      <c r="D146" s="3" t="s">
        <v>6</v>
      </c>
      <c r="F146" s="2"/>
    </row>
    <row r="147" ht="18.75" customHeight="1">
      <c r="A147" s="3">
        <v>3250.0</v>
      </c>
      <c r="B147" s="3" t="s">
        <v>158</v>
      </c>
      <c r="C147" s="3" t="s">
        <v>21</v>
      </c>
      <c r="D147" s="3" t="s">
        <v>6</v>
      </c>
      <c r="F147" s="2"/>
    </row>
    <row r="148" ht="18.75" customHeight="1">
      <c r="A148" s="3">
        <v>3260.0</v>
      </c>
      <c r="B148" s="3" t="s">
        <v>159</v>
      </c>
      <c r="C148" s="3" t="s">
        <v>21</v>
      </c>
      <c r="D148" s="3" t="s">
        <v>6</v>
      </c>
      <c r="F148" s="2"/>
    </row>
    <row r="149" ht="18.75" customHeight="1">
      <c r="A149" s="3">
        <v>3300.0</v>
      </c>
      <c r="B149" s="3" t="s">
        <v>160</v>
      </c>
      <c r="C149" s="3" t="s">
        <v>21</v>
      </c>
      <c r="D149" s="3" t="s">
        <v>20</v>
      </c>
      <c r="F149" s="2"/>
    </row>
    <row r="150" ht="18.75" customHeight="1">
      <c r="A150" s="3">
        <v>3310.0</v>
      </c>
      <c r="B150" s="3" t="s">
        <v>161</v>
      </c>
      <c r="C150" s="3" t="s">
        <v>21</v>
      </c>
      <c r="D150" s="3" t="s">
        <v>20</v>
      </c>
      <c r="F150" s="2"/>
    </row>
    <row r="151" ht="18.75" customHeight="1">
      <c r="A151" s="3">
        <v>3320.0</v>
      </c>
      <c r="B151" s="3" t="s">
        <v>162</v>
      </c>
      <c r="C151" s="3" t="s">
        <v>21</v>
      </c>
      <c r="D151" s="3" t="s">
        <v>20</v>
      </c>
      <c r="F151" s="2"/>
    </row>
    <row r="152" ht="18.75" customHeight="1">
      <c r="A152" s="3">
        <v>3400.0</v>
      </c>
      <c r="B152" s="3" t="s">
        <v>163</v>
      </c>
      <c r="C152" s="3" t="s">
        <v>21</v>
      </c>
      <c r="D152" s="3" t="s">
        <v>20</v>
      </c>
      <c r="F152" s="2"/>
    </row>
    <row r="153" ht="18.75" customHeight="1">
      <c r="A153" s="3">
        <v>3410.0</v>
      </c>
      <c r="B153" s="3" t="s">
        <v>164</v>
      </c>
      <c r="C153" s="3" t="s">
        <v>21</v>
      </c>
      <c r="D153" s="3" t="s">
        <v>20</v>
      </c>
      <c r="F153" s="2"/>
    </row>
    <row r="154" ht="18.75" customHeight="1">
      <c r="A154" s="3">
        <v>3500.0</v>
      </c>
      <c r="B154" s="3" t="s">
        <v>165</v>
      </c>
      <c r="C154" s="3" t="s">
        <v>21</v>
      </c>
      <c r="D154" s="3" t="s">
        <v>20</v>
      </c>
      <c r="F154" s="2"/>
    </row>
    <row r="155" ht="18.75" customHeight="1">
      <c r="A155" s="3">
        <v>3510.0</v>
      </c>
      <c r="B155" s="3" t="s">
        <v>166</v>
      </c>
      <c r="C155" s="3" t="s">
        <v>21</v>
      </c>
      <c r="D155" s="3" t="s">
        <v>20</v>
      </c>
      <c r="F155" s="2"/>
    </row>
    <row r="156" ht="18.75" customHeight="1">
      <c r="A156" s="3">
        <v>3520.0</v>
      </c>
      <c r="B156" s="3" t="s">
        <v>167</v>
      </c>
      <c r="C156" s="3" t="s">
        <v>21</v>
      </c>
      <c r="D156" s="3" t="s">
        <v>20</v>
      </c>
      <c r="F156" s="2"/>
    </row>
    <row r="157" ht="18.75" customHeight="1">
      <c r="A157" s="3">
        <v>3530.0</v>
      </c>
      <c r="B157" s="3" t="s">
        <v>168</v>
      </c>
      <c r="C157" s="3" t="s">
        <v>21</v>
      </c>
      <c r="D157" s="3" t="s">
        <v>20</v>
      </c>
      <c r="F157" s="2"/>
    </row>
    <row r="158" ht="18.75" customHeight="1">
      <c r="A158" s="3">
        <v>3540.0</v>
      </c>
      <c r="B158" s="3" t="s">
        <v>169</v>
      </c>
      <c r="C158" s="3" t="s">
        <v>21</v>
      </c>
      <c r="D158" s="3" t="s">
        <v>6</v>
      </c>
      <c r="F158" s="2"/>
    </row>
    <row r="159" ht="18.75" customHeight="1">
      <c r="A159" s="3">
        <v>3600.0</v>
      </c>
      <c r="B159" s="3" t="s">
        <v>170</v>
      </c>
      <c r="C159" s="3" t="s">
        <v>21</v>
      </c>
      <c r="D159" s="3" t="s">
        <v>20</v>
      </c>
      <c r="F159" s="2"/>
    </row>
    <row r="160" ht="18.75" customHeight="1">
      <c r="A160" s="3">
        <v>3610.0</v>
      </c>
      <c r="B160" s="3" t="s">
        <v>171</v>
      </c>
      <c r="C160" s="3" t="s">
        <v>21</v>
      </c>
      <c r="D160" s="3" t="s">
        <v>20</v>
      </c>
      <c r="F160" s="2"/>
    </row>
    <row r="161" ht="18.75" customHeight="1">
      <c r="A161" s="3">
        <v>3620.0</v>
      </c>
      <c r="B161" s="3" t="s">
        <v>172</v>
      </c>
      <c r="C161" s="3" t="s">
        <v>21</v>
      </c>
      <c r="D161" s="3" t="s">
        <v>20</v>
      </c>
      <c r="F161" s="2"/>
    </row>
    <row r="162" ht="18.75" customHeight="1">
      <c r="A162" s="3">
        <v>3630.0</v>
      </c>
      <c r="B162" s="3" t="s">
        <v>173</v>
      </c>
      <c r="C162" s="3" t="s">
        <v>21</v>
      </c>
      <c r="D162" s="3" t="s">
        <v>20</v>
      </c>
      <c r="F162" s="2"/>
    </row>
    <row r="163" ht="18.75" customHeight="1">
      <c r="A163" s="3">
        <v>3640.0</v>
      </c>
      <c r="B163" s="3" t="s">
        <v>174</v>
      </c>
      <c r="C163" s="3" t="s">
        <v>21</v>
      </c>
      <c r="D163" s="3" t="s">
        <v>20</v>
      </c>
      <c r="F163" s="2"/>
    </row>
    <row r="164" ht="18.75" customHeight="1">
      <c r="A164" s="3">
        <v>3650.0</v>
      </c>
      <c r="B164" s="3" t="s">
        <v>175</v>
      </c>
      <c r="C164" s="3" t="s">
        <v>21</v>
      </c>
      <c r="D164" s="3" t="s">
        <v>20</v>
      </c>
      <c r="F164" s="2"/>
    </row>
    <row r="165" ht="18.75" customHeight="1">
      <c r="A165" s="3">
        <v>3700.0</v>
      </c>
      <c r="B165" s="3" t="s">
        <v>176</v>
      </c>
      <c r="C165" s="3" t="s">
        <v>16</v>
      </c>
      <c r="D165" s="3" t="s">
        <v>20</v>
      </c>
      <c r="F165" s="2"/>
    </row>
    <row r="166" ht="18.75" customHeight="1">
      <c r="A166" s="3">
        <v>3710.0</v>
      </c>
      <c r="B166" s="3" t="s">
        <v>177</v>
      </c>
      <c r="C166" s="3" t="s">
        <v>16</v>
      </c>
      <c r="D166" s="3" t="s">
        <v>20</v>
      </c>
      <c r="F166" s="2"/>
    </row>
    <row r="167" ht="18.75" customHeight="1">
      <c r="A167" s="3">
        <v>3720.0</v>
      </c>
      <c r="B167" s="3" t="s">
        <v>178</v>
      </c>
      <c r="C167" s="3" t="s">
        <v>16</v>
      </c>
      <c r="D167" s="3" t="s">
        <v>20</v>
      </c>
      <c r="F167" s="2"/>
    </row>
    <row r="168" ht="18.75" customHeight="1">
      <c r="A168" s="3">
        <v>3730.0</v>
      </c>
      <c r="B168" s="3" t="s">
        <v>179</v>
      </c>
      <c r="C168" s="3" t="s">
        <v>16</v>
      </c>
      <c r="D168" s="3" t="s">
        <v>20</v>
      </c>
      <c r="F168" s="2"/>
    </row>
    <row r="169" ht="18.75" customHeight="1">
      <c r="A169" s="3">
        <v>3740.0</v>
      </c>
      <c r="B169" s="3" t="s">
        <v>180</v>
      </c>
      <c r="C169" s="3" t="s">
        <v>16</v>
      </c>
      <c r="D169" s="3" t="s">
        <v>20</v>
      </c>
      <c r="F169" s="2"/>
    </row>
    <row r="170" ht="18.75" customHeight="1">
      <c r="A170" s="3">
        <v>3750.0</v>
      </c>
      <c r="B170" s="3" t="s">
        <v>181</v>
      </c>
      <c r="C170" s="3" t="s">
        <v>16</v>
      </c>
      <c r="D170" s="3" t="s">
        <v>20</v>
      </c>
      <c r="F170" s="2"/>
    </row>
    <row r="171" ht="18.75" customHeight="1">
      <c r="A171" s="3">
        <v>3800.0</v>
      </c>
      <c r="B171" s="3" t="s">
        <v>182</v>
      </c>
      <c r="C171" s="3" t="s">
        <v>16</v>
      </c>
      <c r="D171" s="3" t="s">
        <v>20</v>
      </c>
      <c r="F171" s="2"/>
    </row>
    <row r="172" ht="18.75" customHeight="1">
      <c r="A172" s="3">
        <v>3820.0</v>
      </c>
      <c r="B172" s="3" t="s">
        <v>183</v>
      </c>
      <c r="C172" s="3" t="s">
        <v>16</v>
      </c>
      <c r="D172" s="3" t="s">
        <v>20</v>
      </c>
      <c r="F172" s="2"/>
    </row>
    <row r="173" ht="18.75" customHeight="1">
      <c r="A173" s="3">
        <v>3900.0</v>
      </c>
      <c r="B173" s="3" t="s">
        <v>184</v>
      </c>
      <c r="C173" s="3" t="s">
        <v>16</v>
      </c>
      <c r="D173" s="3" t="s">
        <v>20</v>
      </c>
      <c r="F173" s="2"/>
    </row>
    <row r="174" ht="18.75" customHeight="1">
      <c r="A174" s="3">
        <v>3910.0</v>
      </c>
      <c r="B174" s="3" t="s">
        <v>185</v>
      </c>
      <c r="C174" s="3" t="s">
        <v>16</v>
      </c>
      <c r="D174" s="3" t="s">
        <v>20</v>
      </c>
      <c r="F174" s="2"/>
    </row>
    <row r="175" ht="18.75" customHeight="1">
      <c r="A175" s="3">
        <v>3930.0</v>
      </c>
      <c r="B175" s="3" t="s">
        <v>186</v>
      </c>
      <c r="C175" s="3" t="s">
        <v>16</v>
      </c>
      <c r="D175" s="3" t="s">
        <v>20</v>
      </c>
      <c r="F175" s="2"/>
    </row>
    <row r="176" ht="18.75" customHeight="1">
      <c r="A176" s="3">
        <v>3940.0</v>
      </c>
      <c r="B176" s="3" t="s">
        <v>187</v>
      </c>
      <c r="C176" s="3" t="s">
        <v>16</v>
      </c>
      <c r="D176" s="3" t="s">
        <v>20</v>
      </c>
      <c r="F176" s="2"/>
    </row>
    <row r="177" ht="18.75" customHeight="1">
      <c r="A177" s="3">
        <v>3950.0</v>
      </c>
      <c r="B177" s="3" t="s">
        <v>188</v>
      </c>
      <c r="C177" s="3" t="s">
        <v>16</v>
      </c>
      <c r="D177" s="3" t="s">
        <v>20</v>
      </c>
      <c r="F177" s="2"/>
    </row>
    <row r="178" ht="18.75" customHeight="1">
      <c r="A178" s="3">
        <v>4000.0</v>
      </c>
      <c r="B178" s="3" t="s">
        <v>189</v>
      </c>
      <c r="C178" s="3" t="s">
        <v>5</v>
      </c>
      <c r="D178" s="3" t="s">
        <v>20</v>
      </c>
      <c r="F178" s="2"/>
    </row>
    <row r="179" ht="18.75" customHeight="1">
      <c r="A179" s="3">
        <v>4010.0</v>
      </c>
      <c r="B179" s="3" t="s">
        <v>190</v>
      </c>
      <c r="C179" s="3" t="s">
        <v>5</v>
      </c>
      <c r="D179" s="3" t="s">
        <v>20</v>
      </c>
      <c r="F179" s="2"/>
    </row>
    <row r="180" ht="18.75" customHeight="1">
      <c r="A180" s="3">
        <v>4030.0</v>
      </c>
      <c r="B180" s="3" t="s">
        <v>191</v>
      </c>
      <c r="C180" s="3" t="s">
        <v>5</v>
      </c>
      <c r="D180" s="3" t="s">
        <v>20</v>
      </c>
      <c r="F180" s="2"/>
    </row>
    <row r="181" ht="18.75" customHeight="1">
      <c r="A181" s="3">
        <v>4040.0</v>
      </c>
      <c r="B181" s="3" t="s">
        <v>192</v>
      </c>
      <c r="C181" s="3" t="s">
        <v>5</v>
      </c>
      <c r="D181" s="3" t="s">
        <v>20</v>
      </c>
      <c r="F181" s="2"/>
    </row>
    <row r="182" ht="18.75" customHeight="1">
      <c r="A182" s="3">
        <v>4050.0</v>
      </c>
      <c r="B182" s="3" t="s">
        <v>193</v>
      </c>
      <c r="C182" s="3" t="s">
        <v>5</v>
      </c>
      <c r="D182" s="3" t="s">
        <v>20</v>
      </c>
      <c r="F182" s="2"/>
    </row>
    <row r="183" ht="18.75" customHeight="1">
      <c r="A183" s="3">
        <v>4060.0</v>
      </c>
      <c r="B183" s="3" t="s">
        <v>194</v>
      </c>
      <c r="C183" s="3" t="s">
        <v>5</v>
      </c>
      <c r="D183" s="3" t="s">
        <v>20</v>
      </c>
      <c r="F183" s="2"/>
    </row>
    <row r="184" ht="18.75" customHeight="1">
      <c r="A184" s="3">
        <v>4110.0</v>
      </c>
      <c r="B184" s="3" t="s">
        <v>195</v>
      </c>
      <c r="C184" s="3" t="s">
        <v>5</v>
      </c>
      <c r="D184" s="3" t="s">
        <v>20</v>
      </c>
      <c r="F184" s="2"/>
    </row>
    <row r="185" ht="18.75" customHeight="1">
      <c r="A185" s="3">
        <v>4120.0</v>
      </c>
      <c r="B185" s="3" t="s">
        <v>196</v>
      </c>
      <c r="C185" s="3" t="s">
        <v>5</v>
      </c>
      <c r="D185" s="3" t="s">
        <v>20</v>
      </c>
      <c r="F185" s="2"/>
    </row>
    <row r="186" ht="18.75" customHeight="1">
      <c r="A186" s="3">
        <v>4130.0</v>
      </c>
      <c r="B186" s="3" t="s">
        <v>197</v>
      </c>
      <c r="C186" s="3" t="s">
        <v>5</v>
      </c>
      <c r="D186" s="3" t="s">
        <v>20</v>
      </c>
      <c r="F186" s="2"/>
    </row>
    <row r="187" ht="18.75" customHeight="1">
      <c r="A187" s="3">
        <v>4140.0</v>
      </c>
      <c r="B187" s="3" t="s">
        <v>198</v>
      </c>
      <c r="C187" s="3" t="s">
        <v>5</v>
      </c>
      <c r="D187" s="3" t="s">
        <v>20</v>
      </c>
      <c r="F187" s="2"/>
    </row>
    <row r="188" ht="18.75" customHeight="1">
      <c r="A188" s="3">
        <v>4150.0</v>
      </c>
      <c r="B188" s="3" t="s">
        <v>199</v>
      </c>
      <c r="C188" s="3" t="s">
        <v>5</v>
      </c>
      <c r="D188" s="3" t="s">
        <v>20</v>
      </c>
      <c r="F188" s="2"/>
    </row>
    <row r="189" ht="18.75" customHeight="1">
      <c r="A189" s="3">
        <v>4200.0</v>
      </c>
      <c r="B189" s="3" t="s">
        <v>200</v>
      </c>
      <c r="C189" s="3" t="s">
        <v>5</v>
      </c>
      <c r="D189" s="3" t="s">
        <v>20</v>
      </c>
      <c r="F189" s="2"/>
    </row>
    <row r="190" ht="18.75" customHeight="1">
      <c r="A190" s="3">
        <v>4210.0</v>
      </c>
      <c r="B190" s="3" t="s">
        <v>201</v>
      </c>
      <c r="C190" s="3" t="s">
        <v>5</v>
      </c>
      <c r="D190" s="3" t="s">
        <v>20</v>
      </c>
      <c r="F190" s="2"/>
    </row>
    <row r="191" ht="18.75" customHeight="1">
      <c r="A191" s="3">
        <v>4220.0</v>
      </c>
      <c r="B191" s="3" t="s">
        <v>202</v>
      </c>
      <c r="C191" s="3" t="s">
        <v>5</v>
      </c>
      <c r="D191" s="3" t="s">
        <v>20</v>
      </c>
      <c r="F191" s="2"/>
    </row>
    <row r="192" ht="18.75" customHeight="1">
      <c r="A192" s="3">
        <v>4230.0</v>
      </c>
      <c r="B192" s="3" t="s">
        <v>203</v>
      </c>
      <c r="C192" s="3" t="s">
        <v>5</v>
      </c>
      <c r="D192" s="3" t="s">
        <v>20</v>
      </c>
      <c r="F192" s="2"/>
    </row>
    <row r="193" ht="18.75" customHeight="1">
      <c r="A193" s="3">
        <v>4240.0</v>
      </c>
      <c r="B193" s="3" t="s">
        <v>204</v>
      </c>
      <c r="C193" s="3" t="s">
        <v>5</v>
      </c>
      <c r="D193" s="3" t="s">
        <v>20</v>
      </c>
      <c r="F193" s="2"/>
    </row>
    <row r="194" ht="18.75" customHeight="1">
      <c r="A194" s="3">
        <v>4250.0</v>
      </c>
      <c r="B194" s="3" t="s">
        <v>205</v>
      </c>
      <c r="C194" s="3" t="s">
        <v>5</v>
      </c>
      <c r="D194" s="3" t="s">
        <v>20</v>
      </c>
      <c r="F194" s="2"/>
    </row>
    <row r="195" ht="18.75" customHeight="1">
      <c r="A195" s="3">
        <v>4300.0</v>
      </c>
      <c r="B195" s="3" t="s">
        <v>206</v>
      </c>
      <c r="C195" s="3" t="s">
        <v>5</v>
      </c>
      <c r="D195" s="3" t="s">
        <v>20</v>
      </c>
      <c r="F195" s="2"/>
    </row>
    <row r="196" ht="18.75" customHeight="1">
      <c r="A196" s="3">
        <v>4320.0</v>
      </c>
      <c r="B196" s="3" t="s">
        <v>207</v>
      </c>
      <c r="C196" s="3" t="s">
        <v>5</v>
      </c>
      <c r="D196" s="3" t="s">
        <v>20</v>
      </c>
      <c r="F196" s="2"/>
    </row>
    <row r="197" ht="18.75" customHeight="1">
      <c r="A197" s="3">
        <v>4340.0</v>
      </c>
      <c r="B197" s="3" t="s">
        <v>208</v>
      </c>
      <c r="C197" s="3" t="s">
        <v>5</v>
      </c>
      <c r="D197" s="3" t="s">
        <v>20</v>
      </c>
      <c r="F197" s="2"/>
    </row>
    <row r="198" ht="18.75" customHeight="1">
      <c r="A198" s="3">
        <v>4350.0</v>
      </c>
      <c r="B198" s="3" t="s">
        <v>209</v>
      </c>
      <c r="C198" s="3" t="s">
        <v>5</v>
      </c>
      <c r="D198" s="3" t="s">
        <v>20</v>
      </c>
      <c r="F198" s="2"/>
    </row>
    <row r="199" ht="18.75" customHeight="1">
      <c r="A199" s="3">
        <v>4400.0</v>
      </c>
      <c r="B199" s="3" t="s">
        <v>210</v>
      </c>
      <c r="C199" s="3" t="s">
        <v>5</v>
      </c>
      <c r="D199" s="3" t="s">
        <v>20</v>
      </c>
      <c r="F199" s="2"/>
    </row>
    <row r="200" ht="18.75" customHeight="1">
      <c r="A200" s="3">
        <v>4420.0</v>
      </c>
      <c r="B200" s="3" t="s">
        <v>211</v>
      </c>
      <c r="C200" s="3" t="s">
        <v>5</v>
      </c>
      <c r="D200" s="3" t="s">
        <v>20</v>
      </c>
      <c r="F200" s="2"/>
    </row>
    <row r="201" ht="18.75" customHeight="1">
      <c r="A201" s="3">
        <v>4430.0</v>
      </c>
      <c r="B201" s="3" t="s">
        <v>212</v>
      </c>
      <c r="C201" s="3" t="s">
        <v>5</v>
      </c>
      <c r="D201" s="3" t="s">
        <v>20</v>
      </c>
      <c r="F201" s="2"/>
    </row>
    <row r="202" ht="18.75" customHeight="1">
      <c r="A202" s="3">
        <v>4460.0</v>
      </c>
      <c r="B202" s="3" t="s">
        <v>213</v>
      </c>
      <c r="C202" s="3" t="s">
        <v>5</v>
      </c>
      <c r="D202" s="3" t="s">
        <v>20</v>
      </c>
      <c r="F202" s="2"/>
    </row>
    <row r="203" ht="18.75" customHeight="1">
      <c r="A203" s="3">
        <v>4500.0</v>
      </c>
      <c r="B203" s="3" t="s">
        <v>214</v>
      </c>
      <c r="C203" s="3" t="s">
        <v>5</v>
      </c>
      <c r="D203" s="3" t="s">
        <v>20</v>
      </c>
      <c r="F203" s="2"/>
    </row>
    <row r="204" ht="18.75" customHeight="1">
      <c r="A204" s="3">
        <v>4510.0</v>
      </c>
      <c r="B204" s="3" t="s">
        <v>215</v>
      </c>
      <c r="C204" s="3" t="s">
        <v>5</v>
      </c>
      <c r="D204" s="3" t="s">
        <v>20</v>
      </c>
      <c r="F204" s="2"/>
    </row>
    <row r="205" ht="18.75" customHeight="1">
      <c r="A205" s="3">
        <v>4520.0</v>
      </c>
      <c r="B205" s="3" t="s">
        <v>216</v>
      </c>
      <c r="C205" s="3" t="s">
        <v>5</v>
      </c>
      <c r="D205" s="3" t="s">
        <v>20</v>
      </c>
      <c r="F205" s="2"/>
    </row>
    <row r="206" ht="18.75" customHeight="1">
      <c r="A206" s="3">
        <v>4530.0</v>
      </c>
      <c r="B206" s="3" t="s">
        <v>217</v>
      </c>
      <c r="C206" s="3" t="s">
        <v>5</v>
      </c>
      <c r="D206" s="3" t="s">
        <v>20</v>
      </c>
      <c r="F206" s="2"/>
    </row>
    <row r="207" ht="18.75" customHeight="1">
      <c r="A207" s="3">
        <v>4540.0</v>
      </c>
      <c r="B207" s="3" t="s">
        <v>218</v>
      </c>
      <c r="C207" s="3" t="s">
        <v>5</v>
      </c>
      <c r="D207" s="3" t="s">
        <v>20</v>
      </c>
      <c r="F207" s="2"/>
    </row>
    <row r="208" ht="18.75" customHeight="1">
      <c r="A208" s="3">
        <v>4600.0</v>
      </c>
      <c r="B208" s="3" t="s">
        <v>219</v>
      </c>
      <c r="C208" s="3" t="s">
        <v>5</v>
      </c>
      <c r="D208" s="3" t="s">
        <v>20</v>
      </c>
      <c r="F208" s="2"/>
    </row>
    <row r="209" ht="18.75" customHeight="1">
      <c r="A209" s="3">
        <v>4610.0</v>
      </c>
      <c r="B209" s="3" t="s">
        <v>220</v>
      </c>
      <c r="C209" s="3" t="s">
        <v>5</v>
      </c>
      <c r="D209" s="3" t="s">
        <v>20</v>
      </c>
      <c r="F209" s="2"/>
    </row>
    <row r="210" ht="18.75" customHeight="1">
      <c r="A210" s="3">
        <v>4620.0</v>
      </c>
      <c r="B210" s="3" t="s">
        <v>221</v>
      </c>
      <c r="C210" s="3" t="s">
        <v>5</v>
      </c>
      <c r="D210" s="3" t="s">
        <v>20</v>
      </c>
      <c r="F210" s="2"/>
    </row>
    <row r="211" ht="18.75" customHeight="1">
      <c r="A211" s="3">
        <v>4640.0</v>
      </c>
      <c r="B211" s="3" t="s">
        <v>222</v>
      </c>
      <c r="C211" s="3" t="s">
        <v>5</v>
      </c>
      <c r="D211" s="3" t="s">
        <v>20</v>
      </c>
      <c r="F211" s="2"/>
    </row>
    <row r="212" ht="18.75" customHeight="1">
      <c r="A212" s="3">
        <v>4650.0</v>
      </c>
      <c r="B212" s="3" t="s">
        <v>223</v>
      </c>
      <c r="C212" s="3" t="s">
        <v>5</v>
      </c>
      <c r="D212" s="3" t="s">
        <v>20</v>
      </c>
      <c r="F212" s="2"/>
    </row>
    <row r="213" ht="18.75" customHeight="1">
      <c r="A213" s="3">
        <v>4700.0</v>
      </c>
      <c r="B213" s="3" t="s">
        <v>224</v>
      </c>
      <c r="C213" s="3" t="s">
        <v>5</v>
      </c>
      <c r="D213" s="3" t="s">
        <v>20</v>
      </c>
      <c r="F213" s="2"/>
    </row>
    <row r="214" ht="18.75" customHeight="1">
      <c r="A214" s="3">
        <v>4720.0</v>
      </c>
      <c r="B214" s="3" t="s">
        <v>225</v>
      </c>
      <c r="C214" s="3" t="s">
        <v>5</v>
      </c>
      <c r="D214" s="3" t="s">
        <v>20</v>
      </c>
      <c r="F214" s="2"/>
    </row>
    <row r="215" ht="18.75" customHeight="1">
      <c r="A215" s="3">
        <v>4740.0</v>
      </c>
      <c r="B215" s="3" t="s">
        <v>226</v>
      </c>
      <c r="C215" s="3" t="s">
        <v>5</v>
      </c>
      <c r="D215" s="3" t="s">
        <v>20</v>
      </c>
      <c r="F215" s="2"/>
    </row>
    <row r="216" ht="18.75" customHeight="1">
      <c r="A216" s="3">
        <v>4750.0</v>
      </c>
      <c r="B216" s="3" t="s">
        <v>227</v>
      </c>
      <c r="C216" s="3" t="s">
        <v>5</v>
      </c>
      <c r="D216" s="3" t="s">
        <v>20</v>
      </c>
      <c r="F216" s="2"/>
    </row>
    <row r="217" ht="18.75" customHeight="1">
      <c r="A217" s="3">
        <v>4760.0</v>
      </c>
      <c r="B217" s="3" t="s">
        <v>228</v>
      </c>
      <c r="C217" s="3" t="s">
        <v>5</v>
      </c>
      <c r="D217" s="3" t="s">
        <v>20</v>
      </c>
      <c r="F217" s="2"/>
    </row>
    <row r="218" ht="18.75" customHeight="1">
      <c r="A218" s="3">
        <v>4800.0</v>
      </c>
      <c r="B218" s="3" t="s">
        <v>229</v>
      </c>
      <c r="C218" s="3" t="s">
        <v>5</v>
      </c>
      <c r="D218" s="3" t="s">
        <v>20</v>
      </c>
      <c r="F218" s="2"/>
    </row>
    <row r="219" ht="18.75" customHeight="1">
      <c r="A219" s="3">
        <v>4810.0</v>
      </c>
      <c r="B219" s="3" t="s">
        <v>230</v>
      </c>
      <c r="C219" s="3" t="s">
        <v>5</v>
      </c>
      <c r="D219" s="3" t="s">
        <v>20</v>
      </c>
      <c r="F219" s="2"/>
    </row>
    <row r="220" ht="18.75" customHeight="1">
      <c r="A220" s="3">
        <v>4820.0</v>
      </c>
      <c r="B220" s="3" t="s">
        <v>231</v>
      </c>
      <c r="C220" s="3" t="s">
        <v>5</v>
      </c>
      <c r="D220" s="3" t="s">
        <v>6</v>
      </c>
      <c r="F220" s="2"/>
    </row>
    <row r="221" ht="18.75" customHeight="1">
      <c r="A221" s="3">
        <v>4830.0</v>
      </c>
      <c r="B221" s="3" t="s">
        <v>232</v>
      </c>
      <c r="C221" s="3" t="s">
        <v>5</v>
      </c>
      <c r="D221" s="3" t="s">
        <v>20</v>
      </c>
      <c r="F221" s="2"/>
    </row>
    <row r="222" ht="18.75" customHeight="1">
      <c r="A222" s="3">
        <v>4840.0</v>
      </c>
      <c r="B222" s="3" t="s">
        <v>233</v>
      </c>
      <c r="C222" s="3" t="s">
        <v>5</v>
      </c>
      <c r="D222" s="3" t="s">
        <v>20</v>
      </c>
      <c r="F222" s="2"/>
    </row>
    <row r="223" ht="18.75" customHeight="1">
      <c r="A223" s="3">
        <v>4850.0</v>
      </c>
      <c r="B223" s="3" t="s">
        <v>234</v>
      </c>
      <c r="C223" s="3" t="s">
        <v>5</v>
      </c>
      <c r="D223" s="3" t="s">
        <v>20</v>
      </c>
      <c r="F223" s="2"/>
    </row>
    <row r="224" ht="18.75" customHeight="1">
      <c r="A224" s="3">
        <v>4900.0</v>
      </c>
      <c r="B224" s="3" t="s">
        <v>235</v>
      </c>
      <c r="C224" s="3" t="s">
        <v>5</v>
      </c>
      <c r="D224" s="3" t="s">
        <v>20</v>
      </c>
      <c r="F224" s="2"/>
    </row>
    <row r="225" ht="18.75" customHeight="1">
      <c r="A225" s="3">
        <v>4920.0</v>
      </c>
      <c r="B225" s="3" t="s">
        <v>236</v>
      </c>
      <c r="C225" s="3" t="s">
        <v>5</v>
      </c>
      <c r="D225" s="3" t="s">
        <v>20</v>
      </c>
      <c r="F225" s="2"/>
    </row>
    <row r="226" ht="18.75" customHeight="1">
      <c r="A226" s="3">
        <v>4930.0</v>
      </c>
      <c r="B226" s="3" t="s">
        <v>237</v>
      </c>
      <c r="C226" s="3" t="s">
        <v>5</v>
      </c>
      <c r="D226" s="3" t="s">
        <v>6</v>
      </c>
      <c r="F226" s="2"/>
    </row>
    <row r="227" ht="18.75" customHeight="1">
      <c r="A227" s="3">
        <v>4940.0</v>
      </c>
      <c r="B227" s="3" t="s">
        <v>238</v>
      </c>
      <c r="C227" s="3" t="s">
        <v>5</v>
      </c>
      <c r="D227" s="3" t="s">
        <v>20</v>
      </c>
      <c r="F227" s="2"/>
    </row>
    <row r="228" ht="18.75" customHeight="1">
      <c r="A228" s="3">
        <v>4950.0</v>
      </c>
      <c r="B228" s="3" t="s">
        <v>239</v>
      </c>
      <c r="C228" s="3" t="s">
        <v>5</v>
      </c>
      <c r="D228" s="3" t="s">
        <v>20</v>
      </c>
      <c r="F228" s="2"/>
    </row>
    <row r="229" ht="18.75" customHeight="1">
      <c r="A229" s="3">
        <v>4965.0</v>
      </c>
      <c r="B229" s="3" t="s">
        <v>240</v>
      </c>
      <c r="C229" s="3" t="s">
        <v>5</v>
      </c>
      <c r="D229" s="3" t="s">
        <v>20</v>
      </c>
      <c r="F229" s="2"/>
    </row>
    <row r="230" ht="18.75" customHeight="1">
      <c r="A230" s="3">
        <v>5000.0</v>
      </c>
      <c r="B230" s="3" t="s">
        <v>241</v>
      </c>
      <c r="C230" s="3" t="s">
        <v>5</v>
      </c>
      <c r="D230" s="3" t="s">
        <v>20</v>
      </c>
      <c r="F230" s="2"/>
    </row>
    <row r="231" ht="18.75" customHeight="1">
      <c r="A231" s="3">
        <v>5010.0</v>
      </c>
      <c r="B231" s="3" t="s">
        <v>242</v>
      </c>
      <c r="C231" s="3" t="s">
        <v>5</v>
      </c>
      <c r="D231" s="3" t="s">
        <v>20</v>
      </c>
      <c r="F231" s="2"/>
    </row>
    <row r="232" ht="18.75" customHeight="1">
      <c r="A232" s="3">
        <v>5020.0</v>
      </c>
      <c r="B232" s="3" t="s">
        <v>243</v>
      </c>
      <c r="C232" s="3" t="s">
        <v>5</v>
      </c>
      <c r="D232" s="3" t="s">
        <v>20</v>
      </c>
      <c r="F232" s="2"/>
    </row>
    <row r="233" ht="18.75" customHeight="1">
      <c r="A233" s="3">
        <v>5030.0</v>
      </c>
      <c r="B233" s="3" t="s">
        <v>244</v>
      </c>
      <c r="C233" s="3" t="s">
        <v>5</v>
      </c>
      <c r="D233" s="3" t="s">
        <v>20</v>
      </c>
      <c r="F233" s="2"/>
    </row>
    <row r="234" ht="18.75" customHeight="1">
      <c r="A234" s="3">
        <v>5100.0</v>
      </c>
      <c r="B234" s="3" t="s">
        <v>245</v>
      </c>
      <c r="C234" s="3" t="s">
        <v>5</v>
      </c>
      <c r="D234" s="3" t="s">
        <v>20</v>
      </c>
      <c r="F234" s="2"/>
    </row>
    <row r="235" ht="18.75" customHeight="1">
      <c r="A235" s="3">
        <v>5110.0</v>
      </c>
      <c r="B235" s="3" t="s">
        <v>246</v>
      </c>
      <c r="C235" s="3" t="s">
        <v>5</v>
      </c>
      <c r="D235" s="3" t="s">
        <v>20</v>
      </c>
      <c r="F235" s="2"/>
    </row>
    <row r="236" ht="18.75" customHeight="1">
      <c r="A236" s="3">
        <v>5120.0</v>
      </c>
      <c r="B236" s="3" t="s">
        <v>247</v>
      </c>
      <c r="C236" s="3" t="s">
        <v>5</v>
      </c>
      <c r="D236" s="3" t="s">
        <v>20</v>
      </c>
      <c r="F236" s="2"/>
    </row>
    <row r="237" ht="18.75" customHeight="1">
      <c r="A237" s="3">
        <v>5130.0</v>
      </c>
      <c r="B237" s="3" t="s">
        <v>248</v>
      </c>
      <c r="C237" s="3" t="s">
        <v>5</v>
      </c>
      <c r="D237" s="3" t="s">
        <v>20</v>
      </c>
      <c r="F237" s="2"/>
    </row>
    <row r="238" ht="18.75" customHeight="1">
      <c r="A238" s="3">
        <v>5140.0</v>
      </c>
      <c r="B238" s="3" t="s">
        <v>249</v>
      </c>
      <c r="C238" s="3" t="s">
        <v>5</v>
      </c>
      <c r="D238" s="3" t="s">
        <v>20</v>
      </c>
      <c r="F238" s="2"/>
    </row>
    <row r="239" ht="18.75" customHeight="1">
      <c r="A239" s="3">
        <v>5150.0</v>
      </c>
      <c r="B239" s="3" t="s">
        <v>250</v>
      </c>
      <c r="C239" s="3" t="s">
        <v>5</v>
      </c>
      <c r="D239" s="3" t="s">
        <v>20</v>
      </c>
      <c r="F239" s="2"/>
    </row>
    <row r="240" ht="18.75" customHeight="1">
      <c r="A240" s="3">
        <v>5160.0</v>
      </c>
      <c r="B240" s="3" t="s">
        <v>251</v>
      </c>
      <c r="C240" s="3" t="s">
        <v>5</v>
      </c>
      <c r="D240" s="3" t="s">
        <v>20</v>
      </c>
      <c r="F240" s="2"/>
    </row>
    <row r="241" ht="18.75" customHeight="1">
      <c r="A241" s="3">
        <v>5165.0</v>
      </c>
      <c r="B241" s="3" t="s">
        <v>252</v>
      </c>
      <c r="C241" s="3" t="s">
        <v>5</v>
      </c>
      <c r="D241" s="3" t="s">
        <v>20</v>
      </c>
      <c r="F241" s="2"/>
    </row>
    <row r="242" ht="18.75" customHeight="1">
      <c r="A242" s="3">
        <v>5200.0</v>
      </c>
      <c r="B242" s="3" t="s">
        <v>253</v>
      </c>
      <c r="C242" s="3" t="s">
        <v>5</v>
      </c>
      <c r="D242" s="3" t="s">
        <v>20</v>
      </c>
      <c r="F242" s="2"/>
    </row>
    <row r="243" ht="18.75" customHeight="1">
      <c r="A243" s="3">
        <v>5220.0</v>
      </c>
      <c r="B243" s="3" t="s">
        <v>254</v>
      </c>
      <c r="C243" s="3" t="s">
        <v>16</v>
      </c>
      <c r="D243" s="3" t="s">
        <v>20</v>
      </c>
      <c r="F243" s="2"/>
    </row>
    <row r="244" ht="18.75" customHeight="1">
      <c r="A244" s="3">
        <v>5230.0</v>
      </c>
      <c r="B244" s="3" t="s">
        <v>255</v>
      </c>
      <c r="C244" s="3" t="s">
        <v>5</v>
      </c>
      <c r="D244" s="3" t="s">
        <v>20</v>
      </c>
      <c r="F244" s="2"/>
    </row>
    <row r="245" ht="18.75" customHeight="1">
      <c r="A245" s="3">
        <v>5240.0</v>
      </c>
      <c r="B245" s="3" t="s">
        <v>256</v>
      </c>
      <c r="C245" s="3" t="s">
        <v>5</v>
      </c>
      <c r="D245" s="3" t="s">
        <v>20</v>
      </c>
      <c r="F245" s="2"/>
    </row>
    <row r="246" ht="18.75" customHeight="1">
      <c r="A246" s="3">
        <v>5250.0</v>
      </c>
      <c r="B246" s="3" t="s">
        <v>257</v>
      </c>
      <c r="C246" s="3" t="s">
        <v>16</v>
      </c>
      <c r="D246" s="3" t="s">
        <v>20</v>
      </c>
      <c r="F246" s="2"/>
    </row>
    <row r="247" ht="18.75" customHeight="1">
      <c r="A247" s="3">
        <v>5260.0</v>
      </c>
      <c r="B247" s="3" t="s">
        <v>258</v>
      </c>
      <c r="C247" s="3" t="s">
        <v>5</v>
      </c>
      <c r="D247" s="3" t="s">
        <v>20</v>
      </c>
      <c r="F247" s="2"/>
    </row>
    <row r="248" ht="18.75" customHeight="1">
      <c r="A248" s="3">
        <v>5300.0</v>
      </c>
      <c r="B248" s="3" t="s">
        <v>259</v>
      </c>
      <c r="C248" s="3" t="s">
        <v>5</v>
      </c>
      <c r="D248" s="3" t="s">
        <v>20</v>
      </c>
      <c r="F248" s="2"/>
    </row>
    <row r="249" ht="18.75" customHeight="1">
      <c r="A249" s="3">
        <v>5310.0</v>
      </c>
      <c r="B249" s="3" t="s">
        <v>260</v>
      </c>
      <c r="C249" s="3" t="s">
        <v>5</v>
      </c>
      <c r="D249" s="3" t="s">
        <v>20</v>
      </c>
      <c r="F249" s="2"/>
    </row>
    <row r="250" ht="18.75" customHeight="1">
      <c r="A250" s="3">
        <v>5320.0</v>
      </c>
      <c r="B250" s="3" t="s">
        <v>261</v>
      </c>
      <c r="C250" s="3" t="s">
        <v>5</v>
      </c>
      <c r="D250" s="3" t="s">
        <v>20</v>
      </c>
      <c r="F250" s="2"/>
    </row>
    <row r="251" ht="18.75" customHeight="1">
      <c r="A251" s="3">
        <v>5330.0</v>
      </c>
      <c r="B251" s="3" t="s">
        <v>262</v>
      </c>
      <c r="C251" s="3" t="s">
        <v>5</v>
      </c>
      <c r="D251" s="3" t="s">
        <v>20</v>
      </c>
      <c r="F251" s="2"/>
    </row>
    <row r="252" ht="18.75" customHeight="1">
      <c r="A252" s="3">
        <v>5340.0</v>
      </c>
      <c r="B252" s="3" t="s">
        <v>263</v>
      </c>
      <c r="C252" s="3" t="s">
        <v>5</v>
      </c>
      <c r="D252" s="3" t="s">
        <v>20</v>
      </c>
      <c r="F252" s="2"/>
    </row>
    <row r="253" ht="18.75" customHeight="1">
      <c r="A253" s="3">
        <v>5350.0</v>
      </c>
      <c r="B253" s="3" t="s">
        <v>264</v>
      </c>
      <c r="C253" s="3" t="s">
        <v>5</v>
      </c>
      <c r="D253" s="3" t="s">
        <v>20</v>
      </c>
      <c r="F253" s="2"/>
    </row>
    <row r="254" ht="18.75" customHeight="1">
      <c r="A254" s="3">
        <v>5360.0</v>
      </c>
      <c r="B254" s="3" t="s">
        <v>265</v>
      </c>
      <c r="C254" s="3" t="s">
        <v>5</v>
      </c>
      <c r="D254" s="3" t="s">
        <v>20</v>
      </c>
      <c r="F254" s="2"/>
    </row>
    <row r="255" ht="18.75" customHeight="1">
      <c r="A255" s="3">
        <v>5400.0</v>
      </c>
      <c r="B255" s="3" t="s">
        <v>266</v>
      </c>
      <c r="C255" s="3" t="s">
        <v>5</v>
      </c>
      <c r="D255" s="3" t="s">
        <v>20</v>
      </c>
      <c r="F255" s="2"/>
    </row>
    <row r="256" ht="18.75" customHeight="1">
      <c r="A256" s="3">
        <v>5410.0</v>
      </c>
      <c r="B256" s="3" t="s">
        <v>267</v>
      </c>
      <c r="C256" s="3" t="s">
        <v>5</v>
      </c>
      <c r="D256" s="3" t="s">
        <v>20</v>
      </c>
      <c r="F256" s="2"/>
    </row>
    <row r="257" ht="18.75" customHeight="1">
      <c r="A257" s="3">
        <v>5420.0</v>
      </c>
      <c r="B257" s="3" t="s">
        <v>268</v>
      </c>
      <c r="C257" s="3" t="s">
        <v>5</v>
      </c>
      <c r="D257" s="3" t="s">
        <v>20</v>
      </c>
      <c r="F257" s="2"/>
    </row>
    <row r="258" ht="18.75" customHeight="1">
      <c r="A258" s="3">
        <v>5500.0</v>
      </c>
      <c r="B258" s="3" t="s">
        <v>269</v>
      </c>
      <c r="C258" s="3" t="s">
        <v>5</v>
      </c>
      <c r="D258" s="3" t="s">
        <v>20</v>
      </c>
      <c r="F258" s="2"/>
    </row>
    <row r="259" ht="18.75" customHeight="1">
      <c r="A259" s="3">
        <v>5510.0</v>
      </c>
      <c r="B259" s="3" t="s">
        <v>270</v>
      </c>
      <c r="C259" s="3" t="s">
        <v>5</v>
      </c>
      <c r="D259" s="3" t="s">
        <v>20</v>
      </c>
      <c r="F259" s="2"/>
    </row>
    <row r="260" ht="18.75" customHeight="1">
      <c r="A260" s="3">
        <v>5520.0</v>
      </c>
      <c r="B260" s="3" t="s">
        <v>271</v>
      </c>
      <c r="C260" s="3" t="s">
        <v>5</v>
      </c>
      <c r="D260" s="3" t="s">
        <v>20</v>
      </c>
      <c r="F260" s="2"/>
    </row>
    <row r="261" ht="18.75" customHeight="1">
      <c r="A261" s="3">
        <v>5530.0</v>
      </c>
      <c r="B261" s="3" t="s">
        <v>272</v>
      </c>
      <c r="C261" s="3" t="s">
        <v>5</v>
      </c>
      <c r="D261" s="3" t="s">
        <v>20</v>
      </c>
      <c r="F261" s="2"/>
    </row>
    <row r="262" ht="18.75" customHeight="1">
      <c r="A262" s="3">
        <v>5540.0</v>
      </c>
      <c r="B262" s="3" t="s">
        <v>273</v>
      </c>
      <c r="C262" s="3" t="s">
        <v>16</v>
      </c>
      <c r="D262" s="3" t="s">
        <v>20</v>
      </c>
      <c r="F262" s="2"/>
    </row>
    <row r="263" ht="18.75" customHeight="1">
      <c r="A263" s="3">
        <v>5550.0</v>
      </c>
      <c r="B263" s="3" t="s">
        <v>274</v>
      </c>
      <c r="C263" s="3" t="s">
        <v>16</v>
      </c>
      <c r="D263" s="3" t="s">
        <v>20</v>
      </c>
      <c r="F263" s="2"/>
    </row>
    <row r="264" ht="18.75" customHeight="1">
      <c r="A264" s="3">
        <v>5560.0</v>
      </c>
      <c r="B264" s="3" t="s">
        <v>275</v>
      </c>
      <c r="C264" s="3" t="s">
        <v>16</v>
      </c>
      <c r="D264" s="3" t="s">
        <v>20</v>
      </c>
      <c r="F264" s="2"/>
    </row>
    <row r="265" ht="18.75" customHeight="1">
      <c r="A265" s="3">
        <v>5600.0</v>
      </c>
      <c r="B265" s="3" t="s">
        <v>276</v>
      </c>
      <c r="C265" s="3" t="s">
        <v>5</v>
      </c>
      <c r="D265" s="3" t="s">
        <v>20</v>
      </c>
      <c r="F265" s="2"/>
    </row>
    <row r="266" ht="18.75" customHeight="1">
      <c r="A266" s="3">
        <v>5610.0</v>
      </c>
      <c r="B266" s="3" t="s">
        <v>277</v>
      </c>
      <c r="C266" s="3" t="s">
        <v>5</v>
      </c>
      <c r="D266" s="3" t="s">
        <v>20</v>
      </c>
      <c r="F266" s="2"/>
    </row>
    <row r="267" ht="18.75" customHeight="1">
      <c r="A267" s="3">
        <v>5620.0</v>
      </c>
      <c r="B267" s="3" t="s">
        <v>278</v>
      </c>
      <c r="C267" s="3" t="s">
        <v>5</v>
      </c>
      <c r="D267" s="3" t="s">
        <v>20</v>
      </c>
      <c r="F267" s="2"/>
    </row>
    <row r="268" ht="18.75" customHeight="1">
      <c r="A268" s="3">
        <v>5630.0</v>
      </c>
      <c r="B268" s="3" t="s">
        <v>279</v>
      </c>
      <c r="C268" s="3" t="s">
        <v>5</v>
      </c>
      <c r="D268" s="3" t="s">
        <v>20</v>
      </c>
      <c r="F268" s="2"/>
    </row>
    <row r="269" ht="18.75" customHeight="1">
      <c r="A269" s="3">
        <v>5700.0</v>
      </c>
      <c r="B269" s="3" t="s">
        <v>280</v>
      </c>
      <c r="C269" s="3" t="s">
        <v>5</v>
      </c>
      <c r="D269" s="3" t="s">
        <v>20</v>
      </c>
      <c r="F269" s="2"/>
    </row>
    <row r="270" ht="18.75" customHeight="1">
      <c r="A270" s="3">
        <v>5800.0</v>
      </c>
      <c r="B270" s="3" t="s">
        <v>281</v>
      </c>
      <c r="C270" s="3" t="s">
        <v>5</v>
      </c>
      <c r="D270" s="3" t="s">
        <v>20</v>
      </c>
      <c r="F270" s="2"/>
    </row>
    <row r="271" ht="18.75" customHeight="1">
      <c r="A271" s="3">
        <v>5810.0</v>
      </c>
      <c r="B271" s="3" t="s">
        <v>282</v>
      </c>
      <c r="C271" s="3" t="s">
        <v>5</v>
      </c>
      <c r="D271" s="3" t="s">
        <v>20</v>
      </c>
      <c r="F271" s="2"/>
    </row>
    <row r="272" ht="18.75" customHeight="1">
      <c r="A272" s="3">
        <v>5820.0</v>
      </c>
      <c r="B272" s="3" t="s">
        <v>283</v>
      </c>
      <c r="C272" s="3" t="s">
        <v>5</v>
      </c>
      <c r="D272" s="3" t="s">
        <v>20</v>
      </c>
      <c r="F272" s="2"/>
    </row>
    <row r="273" ht="18.75" customHeight="1">
      <c r="A273" s="3">
        <v>5840.0</v>
      </c>
      <c r="B273" s="3" t="s">
        <v>284</v>
      </c>
      <c r="C273" s="3" t="s">
        <v>5</v>
      </c>
      <c r="D273" s="3" t="s">
        <v>20</v>
      </c>
      <c r="F273" s="2"/>
    </row>
    <row r="274" ht="18.75" customHeight="1">
      <c r="A274" s="3">
        <v>5850.0</v>
      </c>
      <c r="B274" s="3" t="s">
        <v>285</v>
      </c>
      <c r="C274" s="3" t="s">
        <v>5</v>
      </c>
      <c r="D274" s="3" t="s">
        <v>20</v>
      </c>
      <c r="F274" s="2"/>
    </row>
    <row r="275" ht="18.75" customHeight="1">
      <c r="A275" s="3">
        <v>5860.0</v>
      </c>
      <c r="B275" s="3" t="s">
        <v>286</v>
      </c>
      <c r="C275" s="3" t="s">
        <v>5</v>
      </c>
      <c r="D275" s="3" t="s">
        <v>20</v>
      </c>
      <c r="F275" s="2"/>
    </row>
    <row r="276" ht="18.75" customHeight="1">
      <c r="A276" s="3">
        <v>5900.0</v>
      </c>
      <c r="B276" s="3" t="s">
        <v>287</v>
      </c>
      <c r="C276" s="3" t="s">
        <v>5</v>
      </c>
      <c r="D276" s="3" t="s">
        <v>20</v>
      </c>
      <c r="F276" s="2"/>
    </row>
    <row r="277" ht="18.75" customHeight="1">
      <c r="A277" s="3">
        <v>5910.0</v>
      </c>
      <c r="B277" s="3" t="s">
        <v>288</v>
      </c>
      <c r="C277" s="3" t="s">
        <v>5</v>
      </c>
      <c r="D277" s="3" t="s">
        <v>20</v>
      </c>
      <c r="F277" s="2"/>
    </row>
    <row r="278" ht="18.75" customHeight="1">
      <c r="A278" s="3">
        <v>5920.0</v>
      </c>
      <c r="B278" s="3" t="s">
        <v>289</v>
      </c>
      <c r="C278" s="3" t="s">
        <v>12</v>
      </c>
      <c r="D278" s="3" t="s">
        <v>20</v>
      </c>
      <c r="F278" s="2"/>
    </row>
    <row r="279" ht="18.75" customHeight="1">
      <c r="A279" s="3">
        <v>5940.0</v>
      </c>
      <c r="B279" s="3" t="s">
        <v>290</v>
      </c>
      <c r="C279" s="3" t="s">
        <v>5</v>
      </c>
      <c r="D279" s="3" t="s">
        <v>20</v>
      </c>
      <c r="F279" s="2"/>
    </row>
    <row r="280" ht="18.75" customHeight="1">
      <c r="A280" s="3">
        <v>6005.0</v>
      </c>
      <c r="B280" s="3" t="s">
        <v>291</v>
      </c>
      <c r="C280" s="3" t="s">
        <v>5</v>
      </c>
      <c r="D280" s="3" t="s">
        <v>20</v>
      </c>
      <c r="F280" s="2"/>
    </row>
    <row r="281" ht="18.75" customHeight="1">
      <c r="A281" s="3">
        <v>6010.0</v>
      </c>
      <c r="B281" s="3" t="s">
        <v>292</v>
      </c>
      <c r="C281" s="3" t="s">
        <v>16</v>
      </c>
      <c r="D281" s="3" t="s">
        <v>20</v>
      </c>
      <c r="F281" s="2"/>
    </row>
    <row r="282" ht="18.75" customHeight="1">
      <c r="A282" s="3">
        <v>6040.0</v>
      </c>
      <c r="B282" s="3" t="s">
        <v>293</v>
      </c>
      <c r="C282" s="3" t="s">
        <v>5</v>
      </c>
      <c r="D282" s="3" t="s">
        <v>20</v>
      </c>
      <c r="F282" s="2"/>
    </row>
    <row r="283" ht="18.75" customHeight="1">
      <c r="A283" s="3">
        <v>6050.0</v>
      </c>
      <c r="B283" s="3" t="s">
        <v>294</v>
      </c>
      <c r="C283" s="3" t="s">
        <v>5</v>
      </c>
      <c r="D283" s="3" t="s">
        <v>20</v>
      </c>
      <c r="F283" s="2"/>
    </row>
    <row r="284" ht="18.75" customHeight="1">
      <c r="A284" s="3">
        <v>6100.0</v>
      </c>
      <c r="B284" s="3" t="s">
        <v>295</v>
      </c>
      <c r="C284" s="3" t="s">
        <v>5</v>
      </c>
      <c r="D284" s="3" t="s">
        <v>20</v>
      </c>
      <c r="F284" s="2"/>
    </row>
    <row r="285" ht="18.75" customHeight="1">
      <c r="A285" s="3">
        <v>6120.0</v>
      </c>
      <c r="B285" s="3" t="s">
        <v>296</v>
      </c>
      <c r="C285" s="3" t="s">
        <v>16</v>
      </c>
      <c r="D285" s="3" t="s">
        <v>20</v>
      </c>
      <c r="F285" s="2"/>
    </row>
    <row r="286" ht="18.75" customHeight="1">
      <c r="A286" s="3">
        <v>6130.0</v>
      </c>
      <c r="B286" s="3" t="s">
        <v>297</v>
      </c>
      <c r="C286" s="3" t="s">
        <v>5</v>
      </c>
      <c r="D286" s="3" t="s">
        <v>20</v>
      </c>
      <c r="F286" s="2"/>
    </row>
    <row r="287" ht="18.75" customHeight="1">
      <c r="A287" s="3">
        <v>6200.0</v>
      </c>
      <c r="B287" s="3" t="s">
        <v>298</v>
      </c>
      <c r="C287" s="3" t="s">
        <v>5</v>
      </c>
      <c r="D287" s="3" t="s">
        <v>20</v>
      </c>
      <c r="F287" s="2"/>
    </row>
    <row r="288" ht="18.75" customHeight="1">
      <c r="A288" s="3">
        <v>6210.0</v>
      </c>
      <c r="B288" s="3" t="s">
        <v>299</v>
      </c>
      <c r="C288" s="3" t="s">
        <v>5</v>
      </c>
      <c r="D288" s="3" t="s">
        <v>20</v>
      </c>
      <c r="F288" s="2"/>
    </row>
    <row r="289" ht="18.75" customHeight="1">
      <c r="A289" s="3">
        <v>6220.0</v>
      </c>
      <c r="B289" s="3" t="s">
        <v>300</v>
      </c>
      <c r="C289" s="3" t="s">
        <v>5</v>
      </c>
      <c r="D289" s="3" t="s">
        <v>20</v>
      </c>
      <c r="F289" s="2"/>
    </row>
    <row r="290" ht="18.75" customHeight="1">
      <c r="A290" s="3">
        <v>6230.0</v>
      </c>
      <c r="B290" s="3" t="s">
        <v>301</v>
      </c>
      <c r="C290" s="3" t="s">
        <v>5</v>
      </c>
      <c r="D290" s="3" t="s">
        <v>20</v>
      </c>
      <c r="F290" s="2"/>
    </row>
    <row r="291" ht="18.75" customHeight="1">
      <c r="A291" s="3">
        <v>6240.0</v>
      </c>
      <c r="B291" s="3" t="s">
        <v>302</v>
      </c>
      <c r="C291" s="3" t="s">
        <v>5</v>
      </c>
      <c r="D291" s="3" t="s">
        <v>20</v>
      </c>
      <c r="F291" s="2"/>
    </row>
    <row r="292" ht="18.75" customHeight="1">
      <c r="A292" s="3">
        <v>6250.0</v>
      </c>
      <c r="B292" s="3" t="s">
        <v>303</v>
      </c>
      <c r="C292" s="3" t="s">
        <v>5</v>
      </c>
      <c r="D292" s="3" t="s">
        <v>20</v>
      </c>
      <c r="F292" s="2"/>
    </row>
    <row r="293" ht="18.75" customHeight="1">
      <c r="A293" s="3">
        <v>6260.0</v>
      </c>
      <c r="B293" s="3" t="s">
        <v>304</v>
      </c>
      <c r="C293" s="3" t="s">
        <v>5</v>
      </c>
      <c r="D293" s="3" t="s">
        <v>20</v>
      </c>
      <c r="F293" s="2"/>
    </row>
    <row r="294" ht="18.75" customHeight="1">
      <c r="A294" s="3">
        <v>6300.0</v>
      </c>
      <c r="B294" s="3" t="s">
        <v>305</v>
      </c>
      <c r="C294" s="3" t="s">
        <v>5</v>
      </c>
      <c r="D294" s="3" t="s">
        <v>20</v>
      </c>
      <c r="F294" s="2"/>
    </row>
    <row r="295" ht="18.75" customHeight="1">
      <c r="A295" s="3">
        <v>6320.0</v>
      </c>
      <c r="B295" s="3" t="s">
        <v>306</v>
      </c>
      <c r="C295" s="3" t="s">
        <v>5</v>
      </c>
      <c r="D295" s="3" t="s">
        <v>20</v>
      </c>
      <c r="F295" s="2"/>
    </row>
    <row r="296" ht="18.75" customHeight="1">
      <c r="A296" s="3">
        <v>6330.0</v>
      </c>
      <c r="B296" s="3" t="s">
        <v>307</v>
      </c>
      <c r="C296" s="3" t="s">
        <v>5</v>
      </c>
      <c r="D296" s="3" t="s">
        <v>20</v>
      </c>
      <c r="F296" s="2"/>
    </row>
    <row r="297" ht="18.75" customHeight="1">
      <c r="A297" s="3">
        <v>6355.0</v>
      </c>
      <c r="B297" s="3" t="s">
        <v>308</v>
      </c>
      <c r="C297" s="3" t="s">
        <v>5</v>
      </c>
      <c r="D297" s="3" t="s">
        <v>20</v>
      </c>
      <c r="F297" s="2"/>
    </row>
    <row r="298" ht="18.75" customHeight="1">
      <c r="A298" s="3">
        <v>6360.0</v>
      </c>
      <c r="B298" s="3" t="s">
        <v>309</v>
      </c>
      <c r="C298" s="3" t="s">
        <v>5</v>
      </c>
      <c r="D298" s="3" t="s">
        <v>20</v>
      </c>
      <c r="F298" s="2"/>
    </row>
    <row r="299" ht="18.75" customHeight="1">
      <c r="A299" s="3">
        <v>6400.0</v>
      </c>
      <c r="B299" s="3" t="s">
        <v>310</v>
      </c>
      <c r="C299" s="3" t="s">
        <v>5</v>
      </c>
      <c r="D299" s="3" t="s">
        <v>20</v>
      </c>
      <c r="F299" s="2"/>
    </row>
    <row r="300" ht="18.75" customHeight="1">
      <c r="A300" s="3">
        <v>6420.0</v>
      </c>
      <c r="B300" s="3" t="s">
        <v>311</v>
      </c>
      <c r="C300" s="3" t="s">
        <v>5</v>
      </c>
      <c r="D300" s="3" t="s">
        <v>20</v>
      </c>
      <c r="F300" s="2"/>
    </row>
    <row r="301" ht="18.75" customHeight="1">
      <c r="A301" s="3">
        <v>6430.0</v>
      </c>
      <c r="B301" s="3" t="s">
        <v>312</v>
      </c>
      <c r="C301" s="3" t="s">
        <v>5</v>
      </c>
      <c r="D301" s="3" t="s">
        <v>20</v>
      </c>
      <c r="F301" s="2"/>
    </row>
    <row r="302" ht="18.75" customHeight="1">
      <c r="A302" s="3">
        <v>6440.0</v>
      </c>
      <c r="B302" s="3" t="s">
        <v>313</v>
      </c>
      <c r="C302" s="3" t="s">
        <v>5</v>
      </c>
      <c r="D302" s="3" t="s">
        <v>20</v>
      </c>
      <c r="F302" s="2"/>
    </row>
    <row r="303" ht="18.75" customHeight="1">
      <c r="A303" s="3">
        <v>6460.0</v>
      </c>
      <c r="B303" s="3" t="s">
        <v>314</v>
      </c>
      <c r="C303" s="3" t="s">
        <v>5</v>
      </c>
      <c r="D303" s="3" t="s">
        <v>20</v>
      </c>
      <c r="F303" s="2"/>
    </row>
    <row r="304" ht="18.75" customHeight="1">
      <c r="A304" s="3">
        <v>6500.0</v>
      </c>
      <c r="B304" s="3" t="s">
        <v>315</v>
      </c>
      <c r="C304" s="3" t="s">
        <v>5</v>
      </c>
      <c r="D304" s="3" t="s">
        <v>20</v>
      </c>
      <c r="F304" s="2"/>
    </row>
    <row r="305" ht="18.75" customHeight="1">
      <c r="A305" s="3">
        <v>6515.0</v>
      </c>
      <c r="B305" s="3" t="s">
        <v>316</v>
      </c>
      <c r="C305" s="3" t="s">
        <v>5</v>
      </c>
      <c r="D305" s="3" t="s">
        <v>20</v>
      </c>
      <c r="F305" s="2"/>
    </row>
    <row r="306" ht="18.75" customHeight="1">
      <c r="A306" s="3">
        <v>6520.0</v>
      </c>
      <c r="B306" s="3" t="s">
        <v>317</v>
      </c>
      <c r="C306" s="3" t="s">
        <v>5</v>
      </c>
      <c r="D306" s="3" t="s">
        <v>20</v>
      </c>
      <c r="F306" s="2"/>
    </row>
    <row r="307" ht="18.75" customHeight="1">
      <c r="A307" s="3">
        <v>6530.0</v>
      </c>
      <c r="B307" s="3" t="s">
        <v>318</v>
      </c>
      <c r="C307" s="3" t="s">
        <v>5</v>
      </c>
      <c r="D307" s="3" t="s">
        <v>20</v>
      </c>
      <c r="F307" s="2"/>
    </row>
    <row r="308" ht="18.75" customHeight="1">
      <c r="A308" s="3">
        <v>6600.0</v>
      </c>
      <c r="B308" s="3" t="s">
        <v>319</v>
      </c>
      <c r="C308" s="3" t="s">
        <v>5</v>
      </c>
      <c r="D308" s="3" t="s">
        <v>20</v>
      </c>
      <c r="F308" s="2"/>
    </row>
    <row r="309" ht="18.75" customHeight="1">
      <c r="A309" s="3">
        <v>6660.0</v>
      </c>
      <c r="B309" s="3" t="s">
        <v>320</v>
      </c>
      <c r="C309" s="3" t="s">
        <v>5</v>
      </c>
      <c r="D309" s="3" t="s">
        <v>20</v>
      </c>
      <c r="F309" s="2"/>
    </row>
    <row r="310" ht="18.75" customHeight="1">
      <c r="A310" s="3">
        <v>6700.0</v>
      </c>
      <c r="B310" s="3" t="s">
        <v>321</v>
      </c>
      <c r="C310" s="3" t="s">
        <v>5</v>
      </c>
      <c r="D310" s="3" t="s">
        <v>20</v>
      </c>
      <c r="F310" s="2"/>
    </row>
    <row r="311" ht="18.75" customHeight="1">
      <c r="A311" s="3">
        <v>6710.0</v>
      </c>
      <c r="B311" s="3" t="s">
        <v>322</v>
      </c>
      <c r="C311" s="3" t="s">
        <v>5</v>
      </c>
      <c r="D311" s="3" t="s">
        <v>20</v>
      </c>
      <c r="F311" s="2"/>
    </row>
    <row r="312" ht="18.75" customHeight="1">
      <c r="A312" s="3">
        <v>6720.0</v>
      </c>
      <c r="B312" s="3" t="s">
        <v>323</v>
      </c>
      <c r="C312" s="3" t="s">
        <v>5</v>
      </c>
      <c r="D312" s="3" t="s">
        <v>20</v>
      </c>
      <c r="F312" s="2"/>
    </row>
    <row r="313" ht="18.75" customHeight="1">
      <c r="A313" s="3">
        <v>6730.0</v>
      </c>
      <c r="B313" s="3" t="s">
        <v>324</v>
      </c>
      <c r="C313" s="3" t="s">
        <v>16</v>
      </c>
      <c r="D313" s="3" t="s">
        <v>20</v>
      </c>
      <c r="F313" s="2"/>
    </row>
    <row r="314" ht="18.75" customHeight="1">
      <c r="A314" s="3">
        <v>6740.0</v>
      </c>
      <c r="B314" s="3" t="s">
        <v>325</v>
      </c>
      <c r="C314" s="3" t="s">
        <v>16</v>
      </c>
      <c r="D314" s="3" t="s">
        <v>20</v>
      </c>
      <c r="F314" s="2"/>
    </row>
    <row r="315" ht="18.75" customHeight="1">
      <c r="A315" s="3">
        <v>6765.0</v>
      </c>
      <c r="B315" s="3" t="s">
        <v>326</v>
      </c>
      <c r="C315" s="3" t="s">
        <v>5</v>
      </c>
      <c r="D315" s="3" t="s">
        <v>20</v>
      </c>
      <c r="F315" s="2"/>
    </row>
    <row r="316" ht="18.75" customHeight="1">
      <c r="A316" s="3">
        <v>6800.0</v>
      </c>
      <c r="B316" s="3" t="s">
        <v>327</v>
      </c>
      <c r="C316" s="3" t="s">
        <v>5</v>
      </c>
      <c r="D316" s="3" t="s">
        <v>20</v>
      </c>
      <c r="F316" s="2"/>
    </row>
    <row r="317" ht="18.75" customHeight="1">
      <c r="A317" s="3">
        <v>6820.0</v>
      </c>
      <c r="B317" s="3" t="s">
        <v>328</v>
      </c>
      <c r="C317" s="3" t="s">
        <v>5</v>
      </c>
      <c r="D317" s="3" t="s">
        <v>20</v>
      </c>
      <c r="F317" s="2"/>
    </row>
    <row r="318" ht="18.75" customHeight="1">
      <c r="A318" s="3">
        <v>6830.0</v>
      </c>
      <c r="B318" s="3" t="s">
        <v>329</v>
      </c>
      <c r="C318" s="3" t="s">
        <v>5</v>
      </c>
      <c r="D318" s="3" t="s">
        <v>20</v>
      </c>
      <c r="F318" s="2"/>
    </row>
    <row r="319" ht="18.75" customHeight="1">
      <c r="A319" s="3">
        <v>6840.0</v>
      </c>
      <c r="B319" s="3" t="s">
        <v>330</v>
      </c>
      <c r="C319" s="3" t="s">
        <v>5</v>
      </c>
      <c r="D319" s="3" t="s">
        <v>20</v>
      </c>
      <c r="F319" s="2"/>
    </row>
    <row r="320" ht="18.75" customHeight="1">
      <c r="A320" s="3">
        <v>6940.0</v>
      </c>
      <c r="B320" s="3" t="s">
        <v>331</v>
      </c>
      <c r="C320" s="3" t="s">
        <v>5</v>
      </c>
      <c r="D320" s="3" t="s">
        <v>20</v>
      </c>
      <c r="F320" s="2"/>
    </row>
    <row r="321" ht="18.75" customHeight="1">
      <c r="A321" s="3">
        <v>7000.0</v>
      </c>
      <c r="B321" s="3" t="s">
        <v>332</v>
      </c>
      <c r="C321" s="3" t="s">
        <v>5</v>
      </c>
      <c r="D321" s="3" t="s">
        <v>20</v>
      </c>
      <c r="F321" s="2"/>
    </row>
    <row r="322" ht="18.75" customHeight="1">
      <c r="A322" s="3">
        <v>7010.0</v>
      </c>
      <c r="B322" s="3" t="s">
        <v>333</v>
      </c>
      <c r="C322" s="3" t="s">
        <v>5</v>
      </c>
      <c r="D322" s="3" t="s">
        <v>20</v>
      </c>
      <c r="F322" s="2"/>
    </row>
    <row r="323" ht="18.75" customHeight="1">
      <c r="A323" s="3">
        <v>7020.0</v>
      </c>
      <c r="B323" s="3" t="s">
        <v>334</v>
      </c>
      <c r="C323" s="3" t="s">
        <v>5</v>
      </c>
      <c r="D323" s="3" t="s">
        <v>20</v>
      </c>
      <c r="F323" s="2"/>
    </row>
    <row r="324" ht="18.75" customHeight="1">
      <c r="A324" s="3">
        <v>7030.0</v>
      </c>
      <c r="B324" s="3" t="s">
        <v>335</v>
      </c>
      <c r="C324" s="3" t="s">
        <v>5</v>
      </c>
      <c r="D324" s="3" t="s">
        <v>20</v>
      </c>
      <c r="F324" s="2"/>
    </row>
    <row r="325" ht="18.75" customHeight="1">
      <c r="A325" s="3">
        <v>7040.0</v>
      </c>
      <c r="B325" s="3" t="s">
        <v>336</v>
      </c>
      <c r="C325" s="3" t="s">
        <v>5</v>
      </c>
      <c r="D325" s="3" t="s">
        <v>20</v>
      </c>
      <c r="F325" s="2"/>
    </row>
    <row r="326" ht="18.75" customHeight="1">
      <c r="A326" s="3">
        <v>7100.0</v>
      </c>
      <c r="B326" s="3" t="s">
        <v>337</v>
      </c>
      <c r="C326" s="3" t="s">
        <v>5</v>
      </c>
      <c r="D326" s="3" t="s">
        <v>20</v>
      </c>
      <c r="F326" s="2"/>
    </row>
    <row r="327" ht="18.75" customHeight="1">
      <c r="A327" s="3">
        <v>7110.0</v>
      </c>
      <c r="B327" s="3" t="s">
        <v>338</v>
      </c>
      <c r="C327" s="3" t="s">
        <v>5</v>
      </c>
      <c r="D327" s="3" t="s">
        <v>20</v>
      </c>
      <c r="F327" s="2"/>
    </row>
    <row r="328" ht="18.75" customHeight="1">
      <c r="A328" s="3">
        <v>7120.0</v>
      </c>
      <c r="B328" s="3" t="s">
        <v>339</v>
      </c>
      <c r="C328" s="3" t="s">
        <v>5</v>
      </c>
      <c r="D328" s="3" t="s">
        <v>20</v>
      </c>
      <c r="F328" s="2"/>
    </row>
    <row r="329" ht="18.75" customHeight="1">
      <c r="A329" s="3">
        <v>7125.0</v>
      </c>
      <c r="B329" s="3" t="s">
        <v>340</v>
      </c>
      <c r="C329" s="3" t="s">
        <v>5</v>
      </c>
      <c r="D329" s="3" t="s">
        <v>20</v>
      </c>
      <c r="F329" s="2"/>
    </row>
    <row r="330" ht="18.75" customHeight="1">
      <c r="A330" s="3">
        <v>7130.0</v>
      </c>
      <c r="B330" s="3" t="s">
        <v>341</v>
      </c>
      <c r="C330" s="3" t="s">
        <v>5</v>
      </c>
      <c r="D330" s="3" t="s">
        <v>20</v>
      </c>
      <c r="F330" s="2"/>
    </row>
    <row r="331" ht="18.75" customHeight="1">
      <c r="A331" s="3">
        <v>7140.0</v>
      </c>
      <c r="B331" s="3" t="s">
        <v>342</v>
      </c>
      <c r="C331" s="3" t="s">
        <v>5</v>
      </c>
      <c r="D331" s="3" t="s">
        <v>20</v>
      </c>
      <c r="F331" s="2"/>
    </row>
    <row r="332" ht="18.75" customHeight="1">
      <c r="A332" s="3">
        <v>7150.0</v>
      </c>
      <c r="B332" s="3" t="s">
        <v>343</v>
      </c>
      <c r="C332" s="3" t="s">
        <v>5</v>
      </c>
      <c r="D332" s="3" t="s">
        <v>20</v>
      </c>
      <c r="F332" s="2"/>
    </row>
    <row r="333" ht="18.75" customHeight="1">
      <c r="A333" s="3">
        <v>7160.0</v>
      </c>
      <c r="B333" s="3" t="s">
        <v>344</v>
      </c>
      <c r="C333" s="3" t="s">
        <v>5</v>
      </c>
      <c r="D333" s="3" t="s">
        <v>20</v>
      </c>
      <c r="F333" s="2"/>
    </row>
    <row r="334" ht="18.75" customHeight="1">
      <c r="A334" s="3">
        <v>7200.0</v>
      </c>
      <c r="B334" s="3" t="s">
        <v>345</v>
      </c>
      <c r="C334" s="3" t="s">
        <v>5</v>
      </c>
      <c r="D334" s="3" t="s">
        <v>20</v>
      </c>
      <c r="F334" s="2"/>
    </row>
    <row r="335" ht="18.75" customHeight="1">
      <c r="A335" s="3">
        <v>7210.0</v>
      </c>
      <c r="B335" s="3" t="s">
        <v>346</v>
      </c>
      <c r="C335" s="3" t="s">
        <v>5</v>
      </c>
      <c r="D335" s="3" t="s">
        <v>20</v>
      </c>
      <c r="F335" s="2"/>
    </row>
    <row r="336" ht="18.75" customHeight="1">
      <c r="A336" s="3">
        <v>7220.0</v>
      </c>
      <c r="B336" s="3" t="s">
        <v>347</v>
      </c>
      <c r="C336" s="3" t="s">
        <v>5</v>
      </c>
      <c r="D336" s="3" t="s">
        <v>20</v>
      </c>
      <c r="F336" s="2"/>
    </row>
    <row r="337" ht="18.75" customHeight="1">
      <c r="A337" s="3">
        <v>7240.0</v>
      </c>
      <c r="B337" s="3" t="s">
        <v>348</v>
      </c>
      <c r="C337" s="3" t="s">
        <v>5</v>
      </c>
      <c r="D337" s="3" t="s">
        <v>20</v>
      </c>
      <c r="F337" s="2"/>
    </row>
    <row r="338" ht="18.75" customHeight="1">
      <c r="A338" s="3">
        <v>7260.0</v>
      </c>
      <c r="B338" s="3" t="s">
        <v>349</v>
      </c>
      <c r="C338" s="3" t="s">
        <v>5</v>
      </c>
      <c r="D338" s="3" t="s">
        <v>20</v>
      </c>
      <c r="F338" s="2"/>
    </row>
    <row r="339" ht="18.75" customHeight="1">
      <c r="A339" s="3">
        <v>7300.0</v>
      </c>
      <c r="B339" s="3" t="s">
        <v>350</v>
      </c>
      <c r="C339" s="3" t="s">
        <v>5</v>
      </c>
      <c r="D339" s="3" t="s">
        <v>20</v>
      </c>
      <c r="F339" s="2"/>
    </row>
    <row r="340" ht="18.75" customHeight="1">
      <c r="A340" s="3">
        <v>7315.0</v>
      </c>
      <c r="B340" s="3" t="s">
        <v>351</v>
      </c>
      <c r="C340" s="3" t="s">
        <v>5</v>
      </c>
      <c r="D340" s="3" t="s">
        <v>20</v>
      </c>
      <c r="F340" s="2"/>
    </row>
    <row r="341" ht="18.75" customHeight="1">
      <c r="A341" s="3">
        <v>7320.0</v>
      </c>
      <c r="B341" s="3" t="s">
        <v>352</v>
      </c>
      <c r="C341" s="3" t="s">
        <v>5</v>
      </c>
      <c r="D341" s="3" t="s">
        <v>20</v>
      </c>
      <c r="F341" s="2"/>
    </row>
    <row r="342" ht="18.75" customHeight="1">
      <c r="A342" s="3">
        <v>7330.0</v>
      </c>
      <c r="B342" s="3" t="s">
        <v>353</v>
      </c>
      <c r="C342" s="3" t="s">
        <v>5</v>
      </c>
      <c r="D342" s="3" t="s">
        <v>20</v>
      </c>
      <c r="F342" s="2"/>
    </row>
    <row r="343" ht="18.75" customHeight="1">
      <c r="A343" s="3">
        <v>7340.0</v>
      </c>
      <c r="B343" s="3" t="s">
        <v>354</v>
      </c>
      <c r="C343" s="3" t="s">
        <v>5</v>
      </c>
      <c r="D343" s="3" t="s">
        <v>20</v>
      </c>
      <c r="F343" s="2"/>
    </row>
    <row r="344" ht="18.75" customHeight="1">
      <c r="A344" s="3">
        <v>7350.0</v>
      </c>
      <c r="B344" s="3" t="s">
        <v>355</v>
      </c>
      <c r="C344" s="3" t="s">
        <v>5</v>
      </c>
      <c r="D344" s="3" t="s">
        <v>20</v>
      </c>
      <c r="F344" s="2"/>
    </row>
    <row r="345" ht="18.75" customHeight="1">
      <c r="A345" s="3">
        <v>7360.0</v>
      </c>
      <c r="B345" s="3" t="s">
        <v>356</v>
      </c>
      <c r="C345" s="3" t="s">
        <v>5</v>
      </c>
      <c r="D345" s="3" t="s">
        <v>20</v>
      </c>
      <c r="F345" s="2"/>
    </row>
    <row r="346" ht="18.75" customHeight="1">
      <c r="A346" s="3">
        <v>7410.0</v>
      </c>
      <c r="B346" s="3" t="s">
        <v>357</v>
      </c>
      <c r="C346" s="3" t="s">
        <v>5</v>
      </c>
      <c r="D346" s="3" t="s">
        <v>20</v>
      </c>
      <c r="F346" s="2"/>
    </row>
    <row r="347" ht="18.75" customHeight="1">
      <c r="A347" s="3">
        <v>7420.0</v>
      </c>
      <c r="B347" s="3" t="s">
        <v>358</v>
      </c>
      <c r="C347" s="3" t="s">
        <v>5</v>
      </c>
      <c r="D347" s="3" t="s">
        <v>20</v>
      </c>
      <c r="F347" s="2"/>
    </row>
    <row r="348" ht="18.75" customHeight="1">
      <c r="A348" s="3">
        <v>7430.0</v>
      </c>
      <c r="B348" s="3" t="s">
        <v>359</v>
      </c>
      <c r="C348" s="3" t="s">
        <v>5</v>
      </c>
      <c r="D348" s="3" t="s">
        <v>20</v>
      </c>
      <c r="F348" s="2"/>
    </row>
    <row r="349" ht="18.75" customHeight="1">
      <c r="A349" s="3">
        <v>7510.0</v>
      </c>
      <c r="B349" s="3" t="s">
        <v>360</v>
      </c>
      <c r="C349" s="3" t="s">
        <v>5</v>
      </c>
      <c r="D349" s="3" t="s">
        <v>20</v>
      </c>
      <c r="F349" s="2"/>
    </row>
    <row r="350" ht="18.75" customHeight="1">
      <c r="A350" s="3">
        <v>7540.0</v>
      </c>
      <c r="B350" s="3" t="s">
        <v>361</v>
      </c>
      <c r="C350" s="3" t="s">
        <v>5</v>
      </c>
      <c r="D350" s="3" t="s">
        <v>20</v>
      </c>
      <c r="F350" s="2"/>
    </row>
    <row r="351" ht="18.75" customHeight="1">
      <c r="A351" s="3">
        <v>7550.0</v>
      </c>
      <c r="B351" s="3" t="s">
        <v>362</v>
      </c>
      <c r="C351" s="3" t="s">
        <v>5</v>
      </c>
      <c r="D351" s="3" t="s">
        <v>20</v>
      </c>
      <c r="F351" s="2"/>
    </row>
    <row r="352" ht="18.75" customHeight="1">
      <c r="A352" s="3">
        <v>7560.0</v>
      </c>
      <c r="B352" s="3" t="s">
        <v>363</v>
      </c>
      <c r="C352" s="3" t="s">
        <v>5</v>
      </c>
      <c r="D352" s="3" t="s">
        <v>20</v>
      </c>
      <c r="F352" s="2"/>
    </row>
    <row r="353" ht="18.75" customHeight="1">
      <c r="A353" s="3">
        <v>7610.0</v>
      </c>
      <c r="B353" s="3" t="s">
        <v>364</v>
      </c>
      <c r="C353" s="3" t="s">
        <v>5</v>
      </c>
      <c r="D353" s="3" t="s">
        <v>20</v>
      </c>
      <c r="F353" s="2"/>
    </row>
    <row r="354" ht="18.75" customHeight="1">
      <c r="A354" s="3">
        <v>7630.0</v>
      </c>
      <c r="B354" s="3" t="s">
        <v>365</v>
      </c>
      <c r="C354" s="3" t="s">
        <v>5</v>
      </c>
      <c r="D354" s="3" t="s">
        <v>20</v>
      </c>
      <c r="F354" s="2"/>
    </row>
    <row r="355" ht="18.75" customHeight="1">
      <c r="A355" s="3">
        <v>7700.0</v>
      </c>
      <c r="B355" s="3" t="s">
        <v>366</v>
      </c>
      <c r="C355" s="3" t="s">
        <v>5</v>
      </c>
      <c r="D355" s="3" t="s">
        <v>20</v>
      </c>
      <c r="F355" s="2"/>
    </row>
    <row r="356" ht="18.75" customHeight="1">
      <c r="A356" s="3">
        <v>7710.0</v>
      </c>
      <c r="B356" s="3" t="s">
        <v>367</v>
      </c>
      <c r="C356" s="3" t="s">
        <v>5</v>
      </c>
      <c r="D356" s="3" t="s">
        <v>20</v>
      </c>
      <c r="F356" s="2"/>
    </row>
    <row r="357" ht="18.75" customHeight="1">
      <c r="A357" s="3">
        <v>7720.0</v>
      </c>
      <c r="B357" s="3" t="s">
        <v>368</v>
      </c>
      <c r="C357" s="3" t="s">
        <v>5</v>
      </c>
      <c r="D357" s="3" t="s">
        <v>20</v>
      </c>
      <c r="F357" s="2"/>
    </row>
    <row r="358" ht="18.75" customHeight="1">
      <c r="A358" s="3">
        <v>7730.0</v>
      </c>
      <c r="B358" s="3" t="s">
        <v>369</v>
      </c>
      <c r="C358" s="3" t="s">
        <v>5</v>
      </c>
      <c r="D358" s="3" t="s">
        <v>20</v>
      </c>
      <c r="F358" s="2"/>
    </row>
    <row r="359" ht="18.75" customHeight="1">
      <c r="A359" s="3">
        <v>7740.0</v>
      </c>
      <c r="B359" s="3" t="s">
        <v>370</v>
      </c>
      <c r="C359" s="3" t="s">
        <v>5</v>
      </c>
      <c r="D359" s="3" t="s">
        <v>20</v>
      </c>
      <c r="F359" s="2"/>
    </row>
    <row r="360" ht="18.75" customHeight="1">
      <c r="A360" s="3">
        <v>7750.0</v>
      </c>
      <c r="B360" s="3" t="s">
        <v>371</v>
      </c>
      <c r="C360" s="3" t="s">
        <v>5</v>
      </c>
      <c r="D360" s="3" t="s">
        <v>20</v>
      </c>
      <c r="F360" s="2"/>
    </row>
    <row r="361" ht="18.75" customHeight="1">
      <c r="A361" s="3">
        <v>7800.0</v>
      </c>
      <c r="B361" s="3" t="s">
        <v>372</v>
      </c>
      <c r="C361" s="3" t="s">
        <v>5</v>
      </c>
      <c r="D361" s="3" t="s">
        <v>20</v>
      </c>
      <c r="F361" s="2"/>
    </row>
    <row r="362" ht="18.75" customHeight="1">
      <c r="A362" s="3">
        <v>7810.0</v>
      </c>
      <c r="B362" s="3" t="s">
        <v>373</v>
      </c>
      <c r="C362" s="3" t="s">
        <v>5</v>
      </c>
      <c r="D362" s="3" t="s">
        <v>20</v>
      </c>
      <c r="F362" s="2"/>
    </row>
    <row r="363" ht="18.75" customHeight="1">
      <c r="A363" s="3">
        <v>7830.0</v>
      </c>
      <c r="B363" s="3" t="s">
        <v>374</v>
      </c>
      <c r="C363" s="3" t="s">
        <v>5</v>
      </c>
      <c r="D363" s="3" t="s">
        <v>20</v>
      </c>
      <c r="F363" s="2"/>
    </row>
    <row r="364" ht="18.75" customHeight="1">
      <c r="A364" s="3">
        <v>7840.0</v>
      </c>
      <c r="B364" s="3" t="s">
        <v>375</v>
      </c>
      <c r="C364" s="3" t="s">
        <v>5</v>
      </c>
      <c r="D364" s="3" t="s">
        <v>20</v>
      </c>
      <c r="F364" s="2"/>
    </row>
    <row r="365" ht="18.75" customHeight="1">
      <c r="A365" s="3">
        <v>7850.0</v>
      </c>
      <c r="B365" s="3" t="s">
        <v>376</v>
      </c>
      <c r="C365" s="3" t="s">
        <v>5</v>
      </c>
      <c r="D365" s="3" t="s">
        <v>20</v>
      </c>
      <c r="F365" s="2"/>
    </row>
    <row r="366" ht="18.75" customHeight="1">
      <c r="A366" s="3">
        <v>7855.0</v>
      </c>
      <c r="B366" s="3" t="s">
        <v>377</v>
      </c>
      <c r="C366" s="3" t="s">
        <v>5</v>
      </c>
      <c r="D366" s="3" t="s">
        <v>20</v>
      </c>
      <c r="F366" s="2"/>
    </row>
    <row r="367" ht="18.75" customHeight="1">
      <c r="A367" s="3">
        <v>7900.0</v>
      </c>
      <c r="B367" s="3" t="s">
        <v>378</v>
      </c>
      <c r="C367" s="3" t="s">
        <v>5</v>
      </c>
      <c r="D367" s="3" t="s">
        <v>20</v>
      </c>
      <c r="F367" s="2"/>
    </row>
    <row r="368" ht="18.75" customHeight="1">
      <c r="A368" s="3">
        <v>7920.0</v>
      </c>
      <c r="B368" s="3" t="s">
        <v>379</v>
      </c>
      <c r="C368" s="3" t="s">
        <v>5</v>
      </c>
      <c r="D368" s="3" t="s">
        <v>20</v>
      </c>
      <c r="F368" s="2"/>
    </row>
    <row r="369" ht="18.75" customHeight="1">
      <c r="A369" s="3">
        <v>7930.0</v>
      </c>
      <c r="B369" s="3" t="s">
        <v>380</v>
      </c>
      <c r="C369" s="3" t="s">
        <v>5</v>
      </c>
      <c r="D369" s="3" t="s">
        <v>20</v>
      </c>
      <c r="F369" s="2"/>
    </row>
    <row r="370" ht="18.75" customHeight="1">
      <c r="A370" s="3">
        <v>7940.0</v>
      </c>
      <c r="B370" s="3" t="s">
        <v>381</v>
      </c>
      <c r="C370" s="3" t="s">
        <v>5</v>
      </c>
      <c r="D370" s="3" t="s">
        <v>20</v>
      </c>
      <c r="F370" s="2"/>
    </row>
    <row r="371" ht="18.75" customHeight="1">
      <c r="A371" s="3">
        <v>7950.0</v>
      </c>
      <c r="B371" s="3" t="s">
        <v>382</v>
      </c>
      <c r="C371" s="3" t="s">
        <v>5</v>
      </c>
      <c r="D371" s="3" t="s">
        <v>20</v>
      </c>
      <c r="F371" s="2"/>
    </row>
    <row r="372" ht="18.75" customHeight="1">
      <c r="A372" s="3">
        <v>7960.0</v>
      </c>
      <c r="B372" s="3" t="s">
        <v>383</v>
      </c>
      <c r="C372" s="3" t="s">
        <v>5</v>
      </c>
      <c r="D372" s="3" t="s">
        <v>20</v>
      </c>
      <c r="F372" s="2"/>
    </row>
    <row r="373" ht="18.75" customHeight="1">
      <c r="A373" s="3">
        <v>8000.0</v>
      </c>
      <c r="B373" s="3" t="s">
        <v>384</v>
      </c>
      <c r="C373" s="3" t="s">
        <v>5</v>
      </c>
      <c r="D373" s="3" t="s">
        <v>20</v>
      </c>
      <c r="F373" s="2"/>
    </row>
    <row r="374" ht="18.75" customHeight="1">
      <c r="A374" s="3">
        <v>8010.0</v>
      </c>
      <c r="B374" s="3" t="s">
        <v>385</v>
      </c>
      <c r="C374" s="3" t="s">
        <v>5</v>
      </c>
      <c r="D374" s="3" t="s">
        <v>20</v>
      </c>
      <c r="F374" s="2"/>
    </row>
    <row r="375" ht="18.75" customHeight="1">
      <c r="A375" s="3">
        <v>8030.0</v>
      </c>
      <c r="B375" s="3" t="s">
        <v>386</v>
      </c>
      <c r="C375" s="3" t="s">
        <v>5</v>
      </c>
      <c r="D375" s="3" t="s">
        <v>20</v>
      </c>
      <c r="F375" s="2"/>
    </row>
    <row r="376" ht="18.75" customHeight="1">
      <c r="A376" s="3">
        <v>8040.0</v>
      </c>
      <c r="B376" s="3" t="s">
        <v>387</v>
      </c>
      <c r="C376" s="3" t="s">
        <v>5</v>
      </c>
      <c r="D376" s="3" t="s">
        <v>20</v>
      </c>
      <c r="F376" s="2"/>
    </row>
    <row r="377" ht="18.75" customHeight="1">
      <c r="A377" s="3">
        <v>8060.0</v>
      </c>
      <c r="B377" s="3" t="s">
        <v>388</v>
      </c>
      <c r="C377" s="3" t="s">
        <v>5</v>
      </c>
      <c r="D377" s="3" t="s">
        <v>20</v>
      </c>
      <c r="F377" s="2"/>
    </row>
    <row r="378" ht="18.75" customHeight="1">
      <c r="A378" s="3">
        <v>8100.0</v>
      </c>
      <c r="B378" s="3" t="s">
        <v>389</v>
      </c>
      <c r="C378" s="3" t="s">
        <v>5</v>
      </c>
      <c r="D378" s="3" t="s">
        <v>20</v>
      </c>
      <c r="F378" s="2"/>
    </row>
    <row r="379" ht="18.75" customHeight="1">
      <c r="A379" s="3">
        <v>8130.0</v>
      </c>
      <c r="B379" s="3" t="s">
        <v>390</v>
      </c>
      <c r="C379" s="3" t="s">
        <v>5</v>
      </c>
      <c r="D379" s="3" t="s">
        <v>20</v>
      </c>
      <c r="F379" s="2"/>
    </row>
    <row r="380" ht="18.75" customHeight="1">
      <c r="A380" s="3">
        <v>8140.0</v>
      </c>
      <c r="B380" s="3" t="s">
        <v>391</v>
      </c>
      <c r="C380" s="3" t="s">
        <v>5</v>
      </c>
      <c r="D380" s="3" t="s">
        <v>20</v>
      </c>
      <c r="F380" s="2"/>
    </row>
    <row r="381" ht="18.75" customHeight="1">
      <c r="A381" s="3">
        <v>8150.0</v>
      </c>
      <c r="B381" s="3" t="s">
        <v>392</v>
      </c>
      <c r="C381" s="3" t="s">
        <v>5</v>
      </c>
      <c r="D381" s="3" t="s">
        <v>20</v>
      </c>
      <c r="F381" s="2"/>
    </row>
    <row r="382" ht="18.75" customHeight="1">
      <c r="A382" s="3">
        <v>8200.0</v>
      </c>
      <c r="B382" s="3" t="s">
        <v>393</v>
      </c>
      <c r="C382" s="3" t="s">
        <v>5</v>
      </c>
      <c r="D382" s="3" t="s">
        <v>20</v>
      </c>
      <c r="F382" s="2"/>
    </row>
    <row r="383" ht="18.75" customHeight="1">
      <c r="A383" s="3">
        <v>8210.0</v>
      </c>
      <c r="B383" s="3" t="s">
        <v>394</v>
      </c>
      <c r="C383" s="3" t="s">
        <v>5</v>
      </c>
      <c r="D383" s="3" t="s">
        <v>20</v>
      </c>
      <c r="F383" s="2"/>
    </row>
    <row r="384" ht="18.75" customHeight="1">
      <c r="A384" s="3">
        <v>8220.0</v>
      </c>
      <c r="B384" s="3" t="s">
        <v>395</v>
      </c>
      <c r="C384" s="3" t="s">
        <v>5</v>
      </c>
      <c r="D384" s="3" t="s">
        <v>20</v>
      </c>
      <c r="F384" s="2"/>
    </row>
    <row r="385" ht="18.75" customHeight="1">
      <c r="A385" s="3">
        <v>8230.0</v>
      </c>
      <c r="B385" s="3" t="s">
        <v>396</v>
      </c>
      <c r="C385" s="3" t="s">
        <v>5</v>
      </c>
      <c r="D385" s="3" t="s">
        <v>20</v>
      </c>
      <c r="F385" s="2"/>
    </row>
    <row r="386" ht="18.75" customHeight="1">
      <c r="A386" s="3">
        <v>8250.0</v>
      </c>
      <c r="B386" s="3" t="s">
        <v>397</v>
      </c>
      <c r="C386" s="3" t="s">
        <v>5</v>
      </c>
      <c r="D386" s="3" t="s">
        <v>20</v>
      </c>
      <c r="F386" s="2"/>
    </row>
    <row r="387" ht="18.75" customHeight="1">
      <c r="A387" s="3">
        <v>8300.0</v>
      </c>
      <c r="B387" s="3" t="s">
        <v>398</v>
      </c>
      <c r="C387" s="3" t="s">
        <v>5</v>
      </c>
      <c r="D387" s="3" t="s">
        <v>20</v>
      </c>
      <c r="F387" s="2"/>
    </row>
    <row r="388" ht="18.75" customHeight="1">
      <c r="A388" s="3">
        <v>8310.0</v>
      </c>
      <c r="B388" s="3" t="s">
        <v>399</v>
      </c>
      <c r="C388" s="3" t="s">
        <v>5</v>
      </c>
      <c r="D388" s="3" t="s">
        <v>20</v>
      </c>
      <c r="F388" s="2"/>
    </row>
    <row r="389" ht="18.75" customHeight="1">
      <c r="A389" s="3">
        <v>8320.0</v>
      </c>
      <c r="B389" s="3" t="s">
        <v>400</v>
      </c>
      <c r="C389" s="3" t="s">
        <v>5</v>
      </c>
      <c r="D389" s="3" t="s">
        <v>20</v>
      </c>
      <c r="F389" s="2"/>
    </row>
    <row r="390" ht="18.75" customHeight="1">
      <c r="A390" s="3">
        <v>8330.0</v>
      </c>
      <c r="B390" s="3" t="s">
        <v>401</v>
      </c>
      <c r="C390" s="3" t="s">
        <v>5</v>
      </c>
      <c r="D390" s="3" t="s">
        <v>20</v>
      </c>
      <c r="F390" s="2"/>
    </row>
    <row r="391" ht="18.75" customHeight="1">
      <c r="A391" s="3">
        <v>8340.0</v>
      </c>
      <c r="B391" s="3" t="s">
        <v>402</v>
      </c>
      <c r="C391" s="3" t="s">
        <v>5</v>
      </c>
      <c r="D391" s="3" t="s">
        <v>20</v>
      </c>
      <c r="F391" s="2"/>
    </row>
    <row r="392" ht="18.75" customHeight="1">
      <c r="A392" s="3">
        <v>8350.0</v>
      </c>
      <c r="B392" s="3" t="s">
        <v>403</v>
      </c>
      <c r="C392" s="3" t="s">
        <v>5</v>
      </c>
      <c r="D392" s="3" t="s">
        <v>20</v>
      </c>
      <c r="F392" s="2"/>
    </row>
    <row r="393" ht="18.75" customHeight="1">
      <c r="A393" s="3">
        <v>8400.0</v>
      </c>
      <c r="B393" s="3" t="s">
        <v>404</v>
      </c>
      <c r="C393" s="3" t="s">
        <v>5</v>
      </c>
      <c r="D393" s="3" t="s">
        <v>20</v>
      </c>
      <c r="F393" s="2"/>
    </row>
    <row r="394" ht="18.75" customHeight="1">
      <c r="A394" s="3">
        <v>8410.0</v>
      </c>
      <c r="B394" s="3" t="s">
        <v>405</v>
      </c>
      <c r="C394" s="3" t="s">
        <v>5</v>
      </c>
      <c r="D394" s="3" t="s">
        <v>20</v>
      </c>
      <c r="F394" s="2"/>
    </row>
    <row r="395" ht="18.75" customHeight="1">
      <c r="A395" s="3">
        <v>8420.0</v>
      </c>
      <c r="B395" s="3" t="s">
        <v>406</v>
      </c>
      <c r="C395" s="3" t="s">
        <v>5</v>
      </c>
      <c r="D395" s="3" t="s">
        <v>20</v>
      </c>
      <c r="F395" s="2"/>
    </row>
    <row r="396" ht="18.75" customHeight="1">
      <c r="A396" s="3">
        <v>8450.0</v>
      </c>
      <c r="B396" s="3" t="s">
        <v>407</v>
      </c>
      <c r="C396" s="3" t="s">
        <v>5</v>
      </c>
      <c r="D396" s="3" t="s">
        <v>20</v>
      </c>
      <c r="F396" s="2"/>
    </row>
    <row r="397" ht="18.75" customHeight="1">
      <c r="A397" s="3">
        <v>8460.0</v>
      </c>
      <c r="B397" s="3" t="s">
        <v>408</v>
      </c>
      <c r="C397" s="3" t="s">
        <v>5</v>
      </c>
      <c r="D397" s="3" t="s">
        <v>20</v>
      </c>
      <c r="F397" s="2"/>
    </row>
    <row r="398" ht="18.75" customHeight="1">
      <c r="A398" s="3">
        <v>8500.0</v>
      </c>
      <c r="B398" s="3" t="s">
        <v>409</v>
      </c>
      <c r="C398" s="3" t="s">
        <v>5</v>
      </c>
      <c r="D398" s="3" t="s">
        <v>20</v>
      </c>
      <c r="F398" s="2"/>
    </row>
    <row r="399" ht="18.75" customHeight="1">
      <c r="A399" s="3">
        <v>8510.0</v>
      </c>
      <c r="B399" s="3" t="s">
        <v>410</v>
      </c>
      <c r="C399" s="3" t="s">
        <v>5</v>
      </c>
      <c r="D399" s="3" t="s">
        <v>20</v>
      </c>
      <c r="F399" s="2"/>
    </row>
    <row r="400" ht="18.75" customHeight="1">
      <c r="A400" s="3">
        <v>8530.0</v>
      </c>
      <c r="B400" s="3" t="s">
        <v>411</v>
      </c>
      <c r="C400" s="3" t="s">
        <v>5</v>
      </c>
      <c r="D400" s="3" t="s">
        <v>20</v>
      </c>
      <c r="F400" s="2"/>
    </row>
    <row r="401" ht="18.75" customHeight="1">
      <c r="A401" s="3">
        <v>8540.0</v>
      </c>
      <c r="B401" s="3" t="s">
        <v>412</v>
      </c>
      <c r="C401" s="3" t="s">
        <v>5</v>
      </c>
      <c r="D401" s="3" t="s">
        <v>20</v>
      </c>
      <c r="F401" s="2"/>
    </row>
    <row r="402" ht="18.75" customHeight="1">
      <c r="A402" s="3">
        <v>8550.0</v>
      </c>
      <c r="B402" s="3" t="s">
        <v>413</v>
      </c>
      <c r="C402" s="3" t="s">
        <v>5</v>
      </c>
      <c r="D402" s="3" t="s">
        <v>20</v>
      </c>
      <c r="F402" s="2"/>
    </row>
    <row r="403" ht="18.75" customHeight="1">
      <c r="A403" s="3">
        <v>8600.0</v>
      </c>
      <c r="B403" s="3" t="s">
        <v>414</v>
      </c>
      <c r="C403" s="3" t="s">
        <v>5</v>
      </c>
      <c r="D403" s="3" t="s">
        <v>20</v>
      </c>
      <c r="F403" s="2"/>
    </row>
    <row r="404" ht="18.75" customHeight="1">
      <c r="A404" s="3">
        <v>8610.0</v>
      </c>
      <c r="B404" s="3" t="s">
        <v>415</v>
      </c>
      <c r="C404" s="3" t="s">
        <v>5</v>
      </c>
      <c r="D404" s="3" t="s">
        <v>20</v>
      </c>
      <c r="F404" s="2"/>
    </row>
    <row r="405" ht="18.75" customHeight="1">
      <c r="A405" s="3">
        <v>8620.0</v>
      </c>
      <c r="B405" s="3" t="s">
        <v>416</v>
      </c>
      <c r="C405" s="3" t="s">
        <v>16</v>
      </c>
      <c r="D405" s="3" t="s">
        <v>20</v>
      </c>
      <c r="F405" s="2"/>
    </row>
    <row r="406" ht="18.75" customHeight="1">
      <c r="A406" s="3">
        <v>8630.0</v>
      </c>
      <c r="B406" s="3" t="s">
        <v>417</v>
      </c>
      <c r="C406" s="3" t="s">
        <v>5</v>
      </c>
      <c r="D406" s="3" t="s">
        <v>20</v>
      </c>
      <c r="F406" s="2"/>
    </row>
    <row r="407" ht="18.75" customHeight="1">
      <c r="A407" s="3">
        <v>8640.0</v>
      </c>
      <c r="B407" s="3" t="s">
        <v>418</v>
      </c>
      <c r="C407" s="3" t="s">
        <v>5</v>
      </c>
      <c r="D407" s="3" t="s">
        <v>20</v>
      </c>
      <c r="F407" s="2"/>
    </row>
    <row r="408" ht="18.75" customHeight="1">
      <c r="A408" s="3">
        <v>8650.0</v>
      </c>
      <c r="B408" s="3" t="s">
        <v>419</v>
      </c>
      <c r="C408" s="3" t="s">
        <v>5</v>
      </c>
      <c r="D408" s="3" t="s">
        <v>20</v>
      </c>
      <c r="F408" s="2"/>
    </row>
    <row r="409" ht="18.75" customHeight="1">
      <c r="A409" s="3">
        <v>8710.0</v>
      </c>
      <c r="B409" s="3" t="s">
        <v>420</v>
      </c>
      <c r="C409" s="3" t="s">
        <v>5</v>
      </c>
      <c r="D409" s="3" t="s">
        <v>20</v>
      </c>
      <c r="F409" s="2"/>
    </row>
    <row r="410" ht="18.75" customHeight="1">
      <c r="A410" s="3">
        <v>8720.0</v>
      </c>
      <c r="B410" s="3" t="s">
        <v>421</v>
      </c>
      <c r="C410" s="3" t="s">
        <v>5</v>
      </c>
      <c r="D410" s="3" t="s">
        <v>20</v>
      </c>
      <c r="F410" s="2"/>
    </row>
    <row r="411" ht="18.75" customHeight="1">
      <c r="A411" s="3">
        <v>8730.0</v>
      </c>
      <c r="B411" s="3" t="s">
        <v>422</v>
      </c>
      <c r="C411" s="3" t="s">
        <v>5</v>
      </c>
      <c r="D411" s="3" t="s">
        <v>20</v>
      </c>
      <c r="F411" s="2"/>
    </row>
    <row r="412" ht="18.75" customHeight="1">
      <c r="A412" s="3">
        <v>8740.0</v>
      </c>
      <c r="B412" s="3" t="s">
        <v>423</v>
      </c>
      <c r="C412" s="3" t="s">
        <v>5</v>
      </c>
      <c r="D412" s="3" t="s">
        <v>20</v>
      </c>
      <c r="F412" s="2"/>
    </row>
    <row r="413" ht="18.75" customHeight="1">
      <c r="A413" s="3">
        <v>8750.0</v>
      </c>
      <c r="B413" s="3" t="s">
        <v>424</v>
      </c>
      <c r="C413" s="3" t="s">
        <v>5</v>
      </c>
      <c r="D413" s="3" t="s">
        <v>20</v>
      </c>
      <c r="F413" s="2"/>
    </row>
    <row r="414" ht="18.75" customHeight="1">
      <c r="A414" s="3">
        <v>8760.0</v>
      </c>
      <c r="B414" s="3" t="s">
        <v>425</v>
      </c>
      <c r="C414" s="3" t="s">
        <v>21</v>
      </c>
      <c r="D414" s="3" t="s">
        <v>20</v>
      </c>
      <c r="F414" s="2"/>
    </row>
    <row r="415" ht="18.75" customHeight="1">
      <c r="A415" s="3">
        <v>8800.0</v>
      </c>
      <c r="B415" s="3" t="s">
        <v>426</v>
      </c>
      <c r="C415" s="3" t="s">
        <v>5</v>
      </c>
      <c r="D415" s="3" t="s">
        <v>20</v>
      </c>
      <c r="F415" s="2"/>
    </row>
    <row r="416" ht="18.75" customHeight="1">
      <c r="A416" s="3">
        <v>8810.0</v>
      </c>
      <c r="B416" s="3" t="s">
        <v>427</v>
      </c>
      <c r="C416" s="3" t="s">
        <v>5</v>
      </c>
      <c r="D416" s="3" t="s">
        <v>20</v>
      </c>
      <c r="F416" s="2"/>
    </row>
    <row r="417" ht="18.75" customHeight="1">
      <c r="A417" s="3">
        <v>8830.0</v>
      </c>
      <c r="B417" s="3" t="s">
        <v>428</v>
      </c>
      <c r="C417" s="3" t="s">
        <v>5</v>
      </c>
      <c r="D417" s="3" t="s">
        <v>20</v>
      </c>
      <c r="F417" s="2"/>
    </row>
    <row r="418" ht="18.75" customHeight="1">
      <c r="A418" s="3">
        <v>8850.0</v>
      </c>
      <c r="B418" s="3" t="s">
        <v>429</v>
      </c>
      <c r="C418" s="3" t="s">
        <v>5</v>
      </c>
      <c r="D418" s="3" t="s">
        <v>20</v>
      </c>
      <c r="F418" s="2"/>
    </row>
    <row r="419" ht="18.75" customHeight="1">
      <c r="A419" s="3">
        <v>8860.0</v>
      </c>
      <c r="B419" s="3" t="s">
        <v>430</v>
      </c>
      <c r="C419" s="3" t="s">
        <v>5</v>
      </c>
      <c r="D419" s="3" t="s">
        <v>20</v>
      </c>
      <c r="F419" s="2"/>
    </row>
    <row r="420" ht="18.75" customHeight="1">
      <c r="A420" s="3">
        <v>8910.0</v>
      </c>
      <c r="B420" s="3" t="s">
        <v>431</v>
      </c>
      <c r="C420" s="3" t="s">
        <v>5</v>
      </c>
      <c r="D420" s="3" t="s">
        <v>20</v>
      </c>
      <c r="F420" s="2"/>
    </row>
    <row r="421" ht="18.75" customHeight="1">
      <c r="A421" s="3">
        <v>8920.0</v>
      </c>
      <c r="B421" s="3" t="s">
        <v>432</v>
      </c>
      <c r="C421" s="3" t="s">
        <v>5</v>
      </c>
      <c r="D421" s="3" t="s">
        <v>20</v>
      </c>
      <c r="F421" s="2"/>
    </row>
    <row r="422" ht="18.75" customHeight="1">
      <c r="A422" s="3">
        <v>8930.0</v>
      </c>
      <c r="B422" s="3" t="s">
        <v>433</v>
      </c>
      <c r="C422" s="3" t="s">
        <v>5</v>
      </c>
      <c r="D422" s="3" t="s">
        <v>20</v>
      </c>
      <c r="F422" s="2"/>
    </row>
    <row r="423" ht="18.75" customHeight="1">
      <c r="A423" s="3">
        <v>8940.0</v>
      </c>
      <c r="B423" s="3" t="s">
        <v>434</v>
      </c>
      <c r="C423" s="3" t="s">
        <v>5</v>
      </c>
      <c r="D423" s="3" t="s">
        <v>20</v>
      </c>
      <c r="F423" s="2"/>
    </row>
    <row r="424" ht="18.75" customHeight="1">
      <c r="A424" s="3">
        <v>8950.0</v>
      </c>
      <c r="B424" s="3" t="s">
        <v>435</v>
      </c>
      <c r="C424" s="3" t="s">
        <v>5</v>
      </c>
      <c r="D424" s="3" t="s">
        <v>20</v>
      </c>
      <c r="F424" s="2"/>
    </row>
    <row r="425" ht="18.75" customHeight="1">
      <c r="A425" s="3">
        <v>8965.0</v>
      </c>
      <c r="B425" s="3" t="s">
        <v>436</v>
      </c>
      <c r="C425" s="3" t="s">
        <v>5</v>
      </c>
      <c r="D425" s="3" t="s">
        <v>20</v>
      </c>
      <c r="F425" s="2"/>
    </row>
    <row r="426" ht="18.75" customHeight="1">
      <c r="A426" s="3">
        <v>9000.0</v>
      </c>
      <c r="B426" s="3" t="s">
        <v>437</v>
      </c>
      <c r="C426" s="3" t="s">
        <v>5</v>
      </c>
      <c r="D426" s="3" t="s">
        <v>20</v>
      </c>
      <c r="F426" s="2"/>
    </row>
    <row r="427" ht="18.75" customHeight="1">
      <c r="A427" s="3">
        <v>9030.0</v>
      </c>
      <c r="B427" s="3" t="s">
        <v>438</v>
      </c>
      <c r="C427" s="3" t="s">
        <v>5</v>
      </c>
      <c r="D427" s="3" t="s">
        <v>6</v>
      </c>
      <c r="F427" s="2"/>
    </row>
    <row r="428" ht="18.75" customHeight="1">
      <c r="A428" s="3">
        <v>9040.0</v>
      </c>
      <c r="B428" s="3" t="s">
        <v>439</v>
      </c>
      <c r="C428" s="3" t="s">
        <v>16</v>
      </c>
      <c r="D428" s="3" t="s">
        <v>6</v>
      </c>
      <c r="F428" s="2"/>
    </row>
    <row r="429" ht="18.75" customHeight="1">
      <c r="A429" s="3">
        <v>9050.0</v>
      </c>
      <c r="B429" s="3" t="s">
        <v>440</v>
      </c>
      <c r="C429" s="3" t="s">
        <v>5</v>
      </c>
      <c r="D429" s="3" t="s">
        <v>20</v>
      </c>
      <c r="F429" s="2"/>
    </row>
    <row r="430" ht="18.75" customHeight="1">
      <c r="A430" s="3">
        <v>9100.0</v>
      </c>
      <c r="B430" s="3" t="s">
        <v>441</v>
      </c>
      <c r="C430" s="3" t="s">
        <v>16</v>
      </c>
      <c r="D430" s="3" t="s">
        <v>20</v>
      </c>
      <c r="F430" s="2"/>
    </row>
    <row r="431" ht="18.75" customHeight="1">
      <c r="A431" s="3">
        <v>9130.0</v>
      </c>
      <c r="B431" s="3" t="s">
        <v>442</v>
      </c>
      <c r="C431" s="3" t="s">
        <v>5</v>
      </c>
      <c r="D431" s="3" t="s">
        <v>20</v>
      </c>
      <c r="F431" s="2"/>
    </row>
    <row r="432" ht="18.75" customHeight="1">
      <c r="A432" s="3">
        <v>9140.0</v>
      </c>
      <c r="B432" s="3" t="s">
        <v>443</v>
      </c>
      <c r="C432" s="3" t="s">
        <v>5</v>
      </c>
      <c r="D432" s="3" t="s">
        <v>20</v>
      </c>
      <c r="F432" s="2"/>
    </row>
    <row r="433" ht="18.75" customHeight="1">
      <c r="A433" s="3">
        <v>9150.0</v>
      </c>
      <c r="B433" s="3" t="s">
        <v>444</v>
      </c>
      <c r="C433" s="3" t="s">
        <v>5</v>
      </c>
      <c r="D433" s="3" t="s">
        <v>20</v>
      </c>
      <c r="F433" s="2"/>
    </row>
    <row r="434" ht="18.75" customHeight="1">
      <c r="A434" s="3">
        <v>9200.0</v>
      </c>
      <c r="B434" s="3" t="s">
        <v>445</v>
      </c>
      <c r="C434" s="3" t="s">
        <v>5</v>
      </c>
      <c r="D434" s="3" t="s">
        <v>20</v>
      </c>
      <c r="F434" s="2"/>
    </row>
    <row r="435" ht="18.75" customHeight="1">
      <c r="A435" s="3">
        <v>9230.0</v>
      </c>
      <c r="B435" s="3" t="s">
        <v>446</v>
      </c>
      <c r="C435" s="3" t="s">
        <v>5</v>
      </c>
      <c r="D435" s="3" t="s">
        <v>20</v>
      </c>
      <c r="F435" s="2"/>
    </row>
    <row r="436" ht="18.75" customHeight="1">
      <c r="A436" s="3">
        <v>9240.0</v>
      </c>
      <c r="B436" s="3" t="s">
        <v>447</v>
      </c>
      <c r="C436" s="3" t="s">
        <v>5</v>
      </c>
      <c r="D436" s="3" t="s">
        <v>20</v>
      </c>
      <c r="F436" s="2"/>
    </row>
    <row r="437" ht="18.75" customHeight="1">
      <c r="A437" s="3">
        <v>9260.0</v>
      </c>
      <c r="B437" s="3" t="s">
        <v>448</v>
      </c>
      <c r="C437" s="3" t="s">
        <v>16</v>
      </c>
      <c r="D437" s="3" t="s">
        <v>20</v>
      </c>
      <c r="F437" s="2"/>
    </row>
    <row r="438" ht="18.75" customHeight="1">
      <c r="A438" s="3">
        <v>9300.0</v>
      </c>
      <c r="B438" s="3" t="s">
        <v>449</v>
      </c>
      <c r="C438" s="3" t="s">
        <v>5</v>
      </c>
      <c r="D438" s="3" t="s">
        <v>20</v>
      </c>
      <c r="F438" s="2"/>
    </row>
    <row r="439" ht="18.75" customHeight="1">
      <c r="A439" s="3">
        <v>9310.0</v>
      </c>
      <c r="B439" s="3" t="s">
        <v>450</v>
      </c>
      <c r="C439" s="3" t="s">
        <v>5</v>
      </c>
      <c r="D439" s="3" t="s">
        <v>20</v>
      </c>
      <c r="F439" s="2"/>
    </row>
    <row r="440" ht="18.75" customHeight="1">
      <c r="A440" s="3">
        <v>9350.0</v>
      </c>
      <c r="B440" s="3" t="s">
        <v>451</v>
      </c>
      <c r="C440" s="3" t="s">
        <v>5</v>
      </c>
      <c r="D440" s="3" t="s">
        <v>20</v>
      </c>
      <c r="F440" s="2"/>
    </row>
    <row r="441" ht="18.75" customHeight="1">
      <c r="A441" s="3">
        <v>9360.0</v>
      </c>
      <c r="B441" s="3" t="s">
        <v>452</v>
      </c>
      <c r="C441" s="3" t="s">
        <v>5</v>
      </c>
      <c r="D441" s="3" t="s">
        <v>20</v>
      </c>
      <c r="F441" s="2"/>
    </row>
    <row r="442" ht="18.75" customHeight="1">
      <c r="A442" s="3">
        <v>9410.0</v>
      </c>
      <c r="B442" s="3" t="s">
        <v>453</v>
      </c>
      <c r="C442" s="3" t="s">
        <v>16</v>
      </c>
      <c r="D442" s="3" t="s">
        <v>20</v>
      </c>
      <c r="F442" s="2"/>
    </row>
    <row r="443" ht="18.75" customHeight="1">
      <c r="A443" s="3">
        <v>9420.0</v>
      </c>
      <c r="B443" s="3" t="s">
        <v>454</v>
      </c>
      <c r="C443" s="3" t="s">
        <v>5</v>
      </c>
      <c r="D443" s="3" t="s">
        <v>20</v>
      </c>
      <c r="F443" s="2"/>
    </row>
    <row r="444" ht="18.75" customHeight="1">
      <c r="A444" s="3">
        <v>9510.0</v>
      </c>
      <c r="B444" s="3" t="s">
        <v>455</v>
      </c>
      <c r="C444" s="3" t="s">
        <v>5</v>
      </c>
      <c r="D444" s="3" t="s">
        <v>20</v>
      </c>
      <c r="F444" s="2"/>
    </row>
    <row r="445" ht="18.75" customHeight="1">
      <c r="A445" s="3">
        <v>9520.0</v>
      </c>
      <c r="B445" s="3" t="s">
        <v>456</v>
      </c>
      <c r="C445" s="3" t="s">
        <v>5</v>
      </c>
      <c r="D445" s="3" t="s">
        <v>20</v>
      </c>
      <c r="F445" s="2"/>
    </row>
    <row r="446" ht="18.75" customHeight="1">
      <c r="A446" s="3">
        <v>9560.0</v>
      </c>
      <c r="B446" s="3" t="s">
        <v>457</v>
      </c>
      <c r="C446" s="3" t="s">
        <v>5</v>
      </c>
      <c r="D446" s="3" t="s">
        <v>20</v>
      </c>
      <c r="F446" s="2"/>
    </row>
    <row r="447" ht="18.75" customHeight="1">
      <c r="A447" s="3">
        <v>9600.0</v>
      </c>
      <c r="B447" s="3" t="s">
        <v>458</v>
      </c>
      <c r="C447" s="3" t="s">
        <v>5</v>
      </c>
      <c r="D447" s="3" t="s">
        <v>20</v>
      </c>
      <c r="F447" s="2"/>
    </row>
    <row r="448" ht="18.75" customHeight="1">
      <c r="A448" s="3">
        <v>9610.0</v>
      </c>
      <c r="B448" s="3" t="s">
        <v>459</v>
      </c>
      <c r="C448" s="3" t="s">
        <v>5</v>
      </c>
      <c r="D448" s="3" t="s">
        <v>20</v>
      </c>
      <c r="F448" s="2"/>
    </row>
    <row r="449" ht="18.75" customHeight="1">
      <c r="A449" s="3">
        <v>9620.0</v>
      </c>
      <c r="B449" s="3" t="s">
        <v>460</v>
      </c>
      <c r="C449" s="3" t="s">
        <v>5</v>
      </c>
      <c r="D449" s="3" t="s">
        <v>20</v>
      </c>
      <c r="F449" s="2"/>
    </row>
    <row r="450" ht="18.75" customHeight="1">
      <c r="A450" s="3">
        <v>9630.0</v>
      </c>
      <c r="B450" s="3" t="s">
        <v>461</v>
      </c>
      <c r="C450" s="3" t="s">
        <v>5</v>
      </c>
      <c r="D450" s="3" t="s">
        <v>20</v>
      </c>
      <c r="F450" s="2"/>
    </row>
    <row r="451" ht="18.75" customHeight="1">
      <c r="A451" s="3">
        <v>9640.0</v>
      </c>
      <c r="B451" s="3" t="s">
        <v>462</v>
      </c>
      <c r="C451" s="3" t="s">
        <v>5</v>
      </c>
      <c r="D451" s="3" t="s">
        <v>20</v>
      </c>
      <c r="F451" s="2"/>
    </row>
    <row r="452" ht="18.75" customHeight="1">
      <c r="A452" s="3">
        <v>9650.0</v>
      </c>
      <c r="B452" s="3" t="s">
        <v>463</v>
      </c>
      <c r="C452" s="3" t="s">
        <v>5</v>
      </c>
      <c r="D452" s="3" t="s">
        <v>20</v>
      </c>
      <c r="F452" s="2"/>
    </row>
    <row r="453" ht="18.75" customHeight="1">
      <c r="A453" s="3">
        <v>9720.0</v>
      </c>
      <c r="B453" s="3" t="s">
        <v>464</v>
      </c>
      <c r="C453" s="3" t="s">
        <v>16</v>
      </c>
      <c r="D453" s="3" t="s">
        <v>20</v>
      </c>
      <c r="F453" s="2"/>
    </row>
    <row r="454" ht="18.75" customHeight="1">
      <c r="A454" s="3">
        <v>9750.0</v>
      </c>
      <c r="B454" s="3" t="s">
        <v>465</v>
      </c>
      <c r="C454" s="3" t="s">
        <v>5</v>
      </c>
      <c r="D454" s="3" t="s">
        <v>20</v>
      </c>
      <c r="F454" s="2"/>
    </row>
    <row r="455" ht="18.75" customHeight="1">
      <c r="A455" s="3">
        <v>9800.0</v>
      </c>
      <c r="B455" s="3" t="s">
        <v>466</v>
      </c>
      <c r="C455" s="3" t="s">
        <v>16</v>
      </c>
      <c r="D455" s="3" t="s">
        <v>6</v>
      </c>
      <c r="F455" s="2"/>
    </row>
    <row r="456" ht="18.75" customHeight="1">
      <c r="A456" s="3">
        <v>9810.0</v>
      </c>
      <c r="B456" s="3" t="s">
        <v>467</v>
      </c>
      <c r="C456" s="3" t="s">
        <v>16</v>
      </c>
      <c r="D456" s="3" t="s">
        <v>20</v>
      </c>
      <c r="F456" s="2"/>
    </row>
    <row r="457" ht="18.75" customHeight="1">
      <c r="A457" s="3">
        <v>9820.0</v>
      </c>
      <c r="B457" s="3" t="s">
        <v>468</v>
      </c>
      <c r="C457" s="3" t="s">
        <v>16</v>
      </c>
      <c r="D457" s="3" t="s">
        <v>20</v>
      </c>
      <c r="F457" s="2"/>
    </row>
    <row r="458" ht="18.75" customHeight="1">
      <c r="A458" s="3">
        <v>9830.0</v>
      </c>
      <c r="B458" s="3" t="s">
        <v>469</v>
      </c>
      <c r="C458" s="3" t="s">
        <v>16</v>
      </c>
      <c r="D458" s="3" t="s">
        <v>20</v>
      </c>
      <c r="F458" s="2"/>
    </row>
    <row r="459" ht="18.75" customHeight="1">
      <c r="A459" s="3">
        <v>9920.0</v>
      </c>
      <c r="B459" s="3" t="s">
        <v>470</v>
      </c>
      <c r="C459" s="3" t="s">
        <v>25</v>
      </c>
      <c r="D459" s="3" t="s">
        <v>20</v>
      </c>
      <c r="F459" s="2"/>
    </row>
    <row r="460" ht="18.75" customHeight="1">
      <c r="F460" s="2"/>
    </row>
    <row r="461" ht="18.75" customHeight="1">
      <c r="F461" s="2"/>
    </row>
    <row r="462" ht="18.75" customHeight="1">
      <c r="F462" s="2"/>
    </row>
    <row r="463" ht="18.75" customHeight="1">
      <c r="F463" s="2"/>
    </row>
    <row r="464" ht="18.75" customHeight="1">
      <c r="F464" s="2"/>
    </row>
    <row r="465" ht="18.75" customHeight="1">
      <c r="F465" s="2"/>
    </row>
    <row r="466" ht="18.75" customHeight="1">
      <c r="F466" s="2"/>
    </row>
    <row r="467" ht="18.75" customHeight="1">
      <c r="F467" s="2"/>
    </row>
    <row r="468" ht="18.75" customHeight="1">
      <c r="F468" s="2"/>
    </row>
    <row r="469" ht="18.75" customHeight="1">
      <c r="F469" s="2"/>
    </row>
    <row r="470" ht="18.75" customHeight="1">
      <c r="F470" s="2"/>
    </row>
    <row r="471" ht="18.75" customHeight="1">
      <c r="F471" s="2"/>
    </row>
    <row r="472" ht="18.75" customHeight="1">
      <c r="F472" s="2"/>
    </row>
    <row r="473" ht="18.75" customHeight="1">
      <c r="F473" s="2"/>
    </row>
    <row r="474" ht="18.75" customHeight="1">
      <c r="F474" s="2"/>
    </row>
    <row r="475" ht="18.75" customHeight="1">
      <c r="F475" s="2"/>
    </row>
    <row r="476" ht="18.75" customHeight="1">
      <c r="F476" s="2"/>
    </row>
    <row r="477" ht="18.75" customHeight="1">
      <c r="F477" s="2"/>
    </row>
    <row r="478" ht="18.75" customHeight="1">
      <c r="F478" s="2"/>
    </row>
    <row r="479" ht="18.75" customHeight="1">
      <c r="F479" s="2"/>
    </row>
    <row r="480" ht="18.75" customHeight="1">
      <c r="F480" s="2"/>
    </row>
    <row r="481" ht="18.75" customHeight="1">
      <c r="F481" s="2"/>
    </row>
    <row r="482" ht="18.75" customHeight="1">
      <c r="F482" s="2"/>
    </row>
    <row r="483" ht="18.75" customHeight="1">
      <c r="F483" s="2"/>
    </row>
    <row r="484" ht="18.75" customHeight="1">
      <c r="F484" s="2"/>
    </row>
    <row r="485" ht="18.75" customHeight="1">
      <c r="F485" s="2"/>
    </row>
    <row r="486" ht="18.75" customHeight="1">
      <c r="F486" s="2"/>
    </row>
    <row r="487" ht="18.75" customHeight="1">
      <c r="F487" s="2"/>
    </row>
    <row r="488" ht="18.75" customHeight="1">
      <c r="F488" s="2"/>
    </row>
    <row r="489" ht="18.75" customHeight="1">
      <c r="F489" s="2"/>
    </row>
    <row r="490" ht="18.75" customHeight="1">
      <c r="F490" s="2"/>
    </row>
    <row r="491" ht="18.75" customHeight="1">
      <c r="F491" s="2"/>
    </row>
    <row r="492" ht="18.75" customHeight="1">
      <c r="F492" s="2"/>
    </row>
    <row r="493" ht="18.75" customHeight="1">
      <c r="F493" s="2"/>
    </row>
    <row r="494" ht="18.75" customHeight="1">
      <c r="F494" s="2"/>
    </row>
    <row r="495" ht="18.75" customHeight="1">
      <c r="F495" s="2"/>
    </row>
    <row r="496" ht="18.75" customHeight="1">
      <c r="F496" s="2"/>
    </row>
    <row r="497" ht="18.75" customHeight="1">
      <c r="F497" s="2"/>
    </row>
    <row r="498" ht="18.75" customHeight="1">
      <c r="F498" s="2"/>
    </row>
    <row r="499" ht="18.75" customHeight="1">
      <c r="F499" s="2"/>
    </row>
    <row r="500" ht="18.75" customHeight="1">
      <c r="F500" s="2"/>
    </row>
    <row r="501" ht="18.75" customHeight="1">
      <c r="F501" s="2"/>
    </row>
    <row r="502" ht="18.75" customHeight="1">
      <c r="F502" s="2"/>
    </row>
    <row r="503" ht="18.75" customHeight="1">
      <c r="F503" s="2"/>
    </row>
    <row r="504" ht="18.75" customHeight="1">
      <c r="F504" s="2"/>
    </row>
    <row r="505" ht="18.75" customHeight="1">
      <c r="F505" s="2"/>
    </row>
    <row r="506" ht="18.75" customHeight="1">
      <c r="F506" s="2"/>
    </row>
    <row r="507" ht="18.75" customHeight="1">
      <c r="F507" s="2"/>
    </row>
    <row r="508" ht="18.75" customHeight="1">
      <c r="F508" s="2"/>
    </row>
    <row r="509" ht="18.75" customHeight="1">
      <c r="F509" s="2"/>
    </row>
    <row r="510" ht="18.75" customHeight="1">
      <c r="F510" s="2"/>
    </row>
    <row r="511" ht="18.75" customHeight="1">
      <c r="F511" s="2"/>
    </row>
    <row r="512" ht="18.75" customHeight="1">
      <c r="F512" s="2"/>
    </row>
    <row r="513" ht="18.75" customHeight="1">
      <c r="F513" s="2"/>
    </row>
    <row r="514" ht="18.75" customHeight="1">
      <c r="F514" s="2"/>
    </row>
    <row r="515" ht="18.75" customHeight="1">
      <c r="F515" s="2"/>
    </row>
    <row r="516" ht="18.75" customHeight="1">
      <c r="F516" s="2"/>
    </row>
    <row r="517" ht="18.75" customHeight="1">
      <c r="F517" s="2"/>
    </row>
    <row r="518" ht="18.75" customHeight="1">
      <c r="F518" s="2"/>
    </row>
    <row r="519" ht="18.75" customHeight="1">
      <c r="F519" s="2"/>
    </row>
    <row r="520" ht="18.75" customHeight="1">
      <c r="F520" s="2"/>
    </row>
    <row r="521" ht="18.75" customHeight="1">
      <c r="F521" s="2"/>
    </row>
    <row r="522" ht="18.75" customHeight="1">
      <c r="F522" s="2"/>
    </row>
    <row r="523" ht="18.75" customHeight="1">
      <c r="F523" s="2"/>
    </row>
    <row r="524" ht="18.75" customHeight="1">
      <c r="F524" s="2"/>
    </row>
    <row r="525" ht="18.75" customHeight="1">
      <c r="F525" s="2"/>
    </row>
    <row r="526" ht="18.75" customHeight="1">
      <c r="F526" s="2"/>
    </row>
    <row r="527" ht="18.75" customHeight="1">
      <c r="F527" s="2"/>
    </row>
    <row r="528" ht="18.75" customHeight="1">
      <c r="F528" s="2"/>
    </row>
    <row r="529" ht="18.75" customHeight="1">
      <c r="F529" s="2"/>
    </row>
    <row r="530" ht="18.75" customHeight="1">
      <c r="F530" s="2"/>
    </row>
    <row r="531" ht="18.75" customHeight="1">
      <c r="F531" s="2"/>
    </row>
    <row r="532" ht="18.75" customHeight="1">
      <c r="F532" s="2"/>
    </row>
    <row r="533" ht="18.75" customHeight="1">
      <c r="F533" s="2"/>
    </row>
    <row r="534" ht="18.75" customHeight="1">
      <c r="F534" s="2"/>
    </row>
    <row r="535" ht="18.75" customHeight="1">
      <c r="F535" s="2"/>
    </row>
    <row r="536" ht="18.75" customHeight="1">
      <c r="F536" s="2"/>
    </row>
    <row r="537" ht="18.75" customHeight="1">
      <c r="F537" s="2"/>
    </row>
    <row r="538" ht="18.75" customHeight="1">
      <c r="F538" s="2"/>
    </row>
    <row r="539" ht="18.75" customHeight="1">
      <c r="F539" s="2"/>
    </row>
    <row r="540" ht="18.75" customHeight="1">
      <c r="F540" s="2"/>
    </row>
    <row r="541" ht="18.75" customHeight="1">
      <c r="F541" s="2"/>
    </row>
    <row r="542" ht="18.75" customHeight="1">
      <c r="F542" s="2"/>
    </row>
    <row r="543" ht="18.75" customHeight="1">
      <c r="F543" s="2"/>
    </row>
    <row r="544" ht="18.75" customHeight="1">
      <c r="F544" s="2"/>
    </row>
    <row r="545" ht="18.75" customHeight="1">
      <c r="F545" s="2"/>
    </row>
    <row r="546" ht="18.75" customHeight="1">
      <c r="F546" s="2"/>
    </row>
    <row r="547" ht="18.75" customHeight="1">
      <c r="F547" s="2"/>
    </row>
    <row r="548" ht="18.75" customHeight="1">
      <c r="F548" s="2"/>
    </row>
    <row r="549" ht="18.75" customHeight="1">
      <c r="F549" s="2"/>
    </row>
    <row r="550" ht="18.75" customHeight="1">
      <c r="F550" s="2"/>
    </row>
    <row r="551" ht="18.75" customHeight="1">
      <c r="F551" s="2"/>
    </row>
    <row r="552" ht="18.75" customHeight="1">
      <c r="F552" s="2"/>
    </row>
    <row r="553" ht="18.75" customHeight="1">
      <c r="F553" s="2"/>
    </row>
    <row r="554" ht="18.75" customHeight="1">
      <c r="F554" s="2"/>
    </row>
    <row r="555" ht="18.75" customHeight="1">
      <c r="F555" s="2"/>
    </row>
    <row r="556" ht="18.75" customHeight="1">
      <c r="F556" s="2"/>
    </row>
    <row r="557" ht="18.75" customHeight="1">
      <c r="F557" s="2"/>
    </row>
    <row r="558" ht="18.75" customHeight="1">
      <c r="F558" s="2"/>
    </row>
    <row r="559" ht="18.75" customHeight="1">
      <c r="F559" s="2"/>
    </row>
    <row r="560" ht="18.75" customHeight="1">
      <c r="F560" s="2"/>
    </row>
    <row r="561" ht="18.75" customHeight="1">
      <c r="F561" s="2"/>
    </row>
    <row r="562" ht="18.75" customHeight="1">
      <c r="F562" s="2"/>
    </row>
    <row r="563" ht="18.75" customHeight="1">
      <c r="F563" s="2"/>
    </row>
    <row r="564" ht="18.75" customHeight="1">
      <c r="F564" s="2"/>
    </row>
    <row r="565" ht="18.75" customHeight="1">
      <c r="F565" s="2"/>
    </row>
    <row r="566" ht="18.75" customHeight="1">
      <c r="F566" s="2"/>
    </row>
    <row r="567" ht="18.75" customHeight="1">
      <c r="F567" s="2"/>
    </row>
    <row r="568" ht="18.75" customHeight="1">
      <c r="F568" s="2"/>
    </row>
    <row r="569" ht="18.75" customHeight="1">
      <c r="F569" s="2"/>
    </row>
    <row r="570" ht="18.75" customHeight="1">
      <c r="F570" s="2"/>
    </row>
    <row r="571" ht="18.75" customHeight="1">
      <c r="F571" s="2"/>
    </row>
    <row r="572" ht="18.75" customHeight="1">
      <c r="F572" s="2"/>
    </row>
    <row r="573" ht="18.75" customHeight="1">
      <c r="F573" s="2"/>
    </row>
    <row r="574" ht="18.75" customHeight="1">
      <c r="F574" s="2"/>
    </row>
    <row r="575" ht="18.75" customHeight="1">
      <c r="F575" s="2"/>
    </row>
    <row r="576" ht="18.75" customHeight="1">
      <c r="F576" s="2"/>
    </row>
    <row r="577" ht="18.75" customHeight="1">
      <c r="F577" s="2"/>
    </row>
    <row r="578" ht="18.75" customHeight="1">
      <c r="F578" s="2"/>
    </row>
    <row r="579" ht="18.75" customHeight="1">
      <c r="F579" s="2"/>
    </row>
    <row r="580" ht="18.75" customHeight="1">
      <c r="F580" s="2"/>
    </row>
    <row r="581" ht="18.75" customHeight="1">
      <c r="F581" s="2"/>
    </row>
    <row r="582" ht="18.75" customHeight="1">
      <c r="F582" s="2"/>
    </row>
    <row r="583" ht="18.75" customHeight="1">
      <c r="F583" s="2"/>
    </row>
    <row r="584" ht="18.75" customHeight="1">
      <c r="F584" s="2"/>
    </row>
    <row r="585" ht="18.75" customHeight="1">
      <c r="F585" s="2"/>
    </row>
    <row r="586" ht="18.75" customHeight="1">
      <c r="F586" s="2"/>
    </row>
    <row r="587" ht="18.75" customHeight="1">
      <c r="F587" s="2"/>
    </row>
    <row r="588" ht="18.75" customHeight="1">
      <c r="F588" s="2"/>
    </row>
    <row r="589" ht="18.75" customHeight="1">
      <c r="F589" s="2"/>
    </row>
    <row r="590" ht="18.75" customHeight="1">
      <c r="F590" s="2"/>
    </row>
    <row r="591" ht="18.75" customHeight="1">
      <c r="F591" s="2"/>
    </row>
    <row r="592" ht="18.75" customHeight="1">
      <c r="F592" s="2"/>
    </row>
    <row r="593" ht="18.75" customHeight="1">
      <c r="F593" s="2"/>
    </row>
    <row r="594" ht="18.75" customHeight="1">
      <c r="F594" s="2"/>
    </row>
    <row r="595" ht="18.75" customHeight="1">
      <c r="F595" s="2"/>
    </row>
    <row r="596" ht="18.75" customHeight="1">
      <c r="F596" s="2"/>
    </row>
    <row r="597" ht="18.75" customHeight="1">
      <c r="F597" s="2"/>
    </row>
    <row r="598" ht="18.75" customHeight="1">
      <c r="F598" s="2"/>
    </row>
    <row r="599" ht="18.75" customHeight="1">
      <c r="F599" s="2"/>
    </row>
    <row r="600" ht="18.75" customHeight="1">
      <c r="F600" s="2"/>
    </row>
    <row r="601" ht="18.75" customHeight="1">
      <c r="F601" s="2"/>
    </row>
    <row r="602" ht="18.75" customHeight="1">
      <c r="F602" s="2"/>
    </row>
    <row r="603" ht="18.75" customHeight="1">
      <c r="F603" s="2"/>
    </row>
    <row r="604" ht="18.75" customHeight="1">
      <c r="F604" s="2"/>
    </row>
    <row r="605" ht="18.75" customHeight="1">
      <c r="F605" s="2"/>
    </row>
    <row r="606" ht="18.75" customHeight="1">
      <c r="F606" s="2"/>
    </row>
    <row r="607" ht="18.75" customHeight="1">
      <c r="F607" s="2"/>
    </row>
    <row r="608" ht="18.75" customHeight="1">
      <c r="F608" s="2"/>
    </row>
    <row r="609" ht="18.75" customHeight="1">
      <c r="F609" s="2"/>
    </row>
    <row r="610" ht="18.75" customHeight="1">
      <c r="F610" s="2"/>
    </row>
    <row r="611" ht="18.75" customHeight="1">
      <c r="F611" s="2"/>
    </row>
    <row r="612" ht="18.75" customHeight="1">
      <c r="F612" s="2"/>
    </row>
    <row r="613" ht="18.75" customHeight="1">
      <c r="F613" s="2"/>
    </row>
    <row r="614" ht="18.75" customHeight="1">
      <c r="F614" s="2"/>
    </row>
    <row r="615" ht="18.75" customHeight="1">
      <c r="F615" s="2"/>
    </row>
    <row r="616" ht="18.75" customHeight="1">
      <c r="F616" s="2"/>
    </row>
    <row r="617" ht="18.75" customHeight="1">
      <c r="F617" s="2"/>
    </row>
    <row r="618" ht="18.75" customHeight="1">
      <c r="F618" s="2"/>
    </row>
    <row r="619" ht="18.75" customHeight="1">
      <c r="F619" s="2"/>
    </row>
    <row r="620" ht="18.75" customHeight="1">
      <c r="F620" s="2"/>
    </row>
    <row r="621" ht="18.75" customHeight="1">
      <c r="F621" s="2"/>
    </row>
    <row r="622" ht="18.75" customHeight="1">
      <c r="F622" s="2"/>
    </row>
    <row r="623" ht="18.75" customHeight="1">
      <c r="F623" s="2"/>
    </row>
    <row r="624" ht="18.75" customHeight="1">
      <c r="F624" s="2"/>
    </row>
    <row r="625" ht="18.75" customHeight="1">
      <c r="F625" s="2"/>
    </row>
    <row r="626" ht="18.75" customHeight="1">
      <c r="F626" s="2"/>
    </row>
    <row r="627" ht="18.75" customHeight="1">
      <c r="F627" s="2"/>
    </row>
    <row r="628" ht="18.75" customHeight="1">
      <c r="F628" s="2"/>
    </row>
    <row r="629" ht="18.75" customHeight="1">
      <c r="F629" s="2"/>
    </row>
    <row r="630" ht="18.75" customHeight="1">
      <c r="F630" s="2"/>
    </row>
    <row r="631" ht="18.75" customHeight="1">
      <c r="F631" s="2"/>
    </row>
    <row r="632" ht="18.75" customHeight="1">
      <c r="F632" s="2"/>
    </row>
    <row r="633" ht="18.75" customHeight="1">
      <c r="F633" s="2"/>
    </row>
    <row r="634" ht="18.75" customHeight="1">
      <c r="F634" s="2"/>
    </row>
    <row r="635" ht="18.75" customHeight="1">
      <c r="F635" s="2"/>
    </row>
    <row r="636" ht="18.75" customHeight="1">
      <c r="F636" s="2"/>
    </row>
    <row r="637" ht="18.75" customHeight="1">
      <c r="F637" s="2"/>
    </row>
    <row r="638" ht="18.75" customHeight="1">
      <c r="F638" s="2"/>
    </row>
    <row r="639" ht="18.75" customHeight="1">
      <c r="F639" s="2"/>
    </row>
    <row r="640" ht="18.75" customHeight="1">
      <c r="F640" s="2"/>
    </row>
    <row r="641" ht="18.75" customHeight="1">
      <c r="F641" s="2"/>
    </row>
    <row r="642" ht="18.75" customHeight="1">
      <c r="F642" s="2"/>
    </row>
    <row r="643" ht="18.75" customHeight="1">
      <c r="F643" s="2"/>
    </row>
    <row r="644" ht="18.75" customHeight="1">
      <c r="F644" s="2"/>
    </row>
    <row r="645" ht="18.75" customHeight="1">
      <c r="F645" s="2"/>
    </row>
    <row r="646" ht="18.75" customHeight="1">
      <c r="F646" s="2"/>
    </row>
    <row r="647" ht="18.75" customHeight="1">
      <c r="F647" s="2"/>
    </row>
    <row r="648" ht="18.75" customHeight="1">
      <c r="F648" s="2"/>
    </row>
    <row r="649" ht="18.75" customHeight="1">
      <c r="F649" s="2"/>
    </row>
    <row r="650" ht="18.75" customHeight="1">
      <c r="F650" s="2"/>
    </row>
    <row r="651" ht="18.75" customHeight="1">
      <c r="F651" s="2"/>
    </row>
    <row r="652" ht="18.75" customHeight="1">
      <c r="F652" s="2"/>
    </row>
    <row r="653" ht="18.75" customHeight="1">
      <c r="F653" s="2"/>
    </row>
    <row r="654" ht="18.75" customHeight="1">
      <c r="F654" s="2"/>
    </row>
    <row r="655" ht="18.75" customHeight="1">
      <c r="F655" s="2"/>
    </row>
    <row r="656" ht="18.75" customHeight="1">
      <c r="F656" s="2"/>
    </row>
    <row r="657" ht="18.75" customHeight="1">
      <c r="F657" s="2"/>
    </row>
    <row r="658" ht="18.75" customHeight="1">
      <c r="F658" s="2"/>
    </row>
    <row r="659" ht="18.75" customHeight="1">
      <c r="F659" s="2"/>
    </row>
    <row r="660" ht="18.75" customHeight="1">
      <c r="F660" s="2"/>
    </row>
    <row r="661" ht="18.75" customHeight="1">
      <c r="F661" s="2"/>
    </row>
    <row r="662" ht="18.75" customHeight="1">
      <c r="F662" s="2"/>
    </row>
    <row r="663" ht="18.75" customHeight="1">
      <c r="F663" s="2"/>
    </row>
    <row r="664" ht="18.75" customHeight="1">
      <c r="F664" s="2"/>
    </row>
    <row r="665" ht="18.75" customHeight="1">
      <c r="F665" s="2"/>
    </row>
    <row r="666" ht="18.75" customHeight="1">
      <c r="F666" s="2"/>
    </row>
    <row r="667" ht="18.75" customHeight="1">
      <c r="F667" s="2"/>
    </row>
    <row r="668" ht="18.75" customHeight="1">
      <c r="F668" s="2"/>
    </row>
    <row r="669" ht="18.75" customHeight="1">
      <c r="F669" s="2"/>
    </row>
    <row r="670" ht="18.75" customHeight="1">
      <c r="F670" s="2"/>
    </row>
    <row r="671" ht="18.75" customHeight="1">
      <c r="F671" s="2"/>
    </row>
    <row r="672" ht="18.75" customHeight="1">
      <c r="F672" s="2"/>
    </row>
    <row r="673" ht="18.75" customHeight="1">
      <c r="F673" s="2"/>
    </row>
    <row r="674" ht="18.75" customHeight="1">
      <c r="F674" s="2"/>
    </row>
    <row r="675" ht="18.75" customHeight="1">
      <c r="F675" s="2"/>
    </row>
    <row r="676" ht="18.75" customHeight="1">
      <c r="F676" s="2"/>
    </row>
    <row r="677" ht="18.75" customHeight="1">
      <c r="F677" s="2"/>
    </row>
    <row r="678" ht="18.75" customHeight="1">
      <c r="F678" s="2"/>
    </row>
    <row r="679" ht="18.75" customHeight="1">
      <c r="F679" s="2"/>
    </row>
    <row r="680" ht="18.75" customHeight="1">
      <c r="F680" s="2"/>
    </row>
    <row r="681" ht="18.75" customHeight="1">
      <c r="F681" s="2"/>
    </row>
    <row r="682" ht="18.75" customHeight="1">
      <c r="F682" s="2"/>
    </row>
    <row r="683" ht="18.75" customHeight="1">
      <c r="F683" s="2"/>
    </row>
    <row r="684" ht="18.75" customHeight="1">
      <c r="F684" s="2"/>
    </row>
    <row r="685" ht="18.75" customHeight="1">
      <c r="F685" s="2"/>
    </row>
    <row r="686" ht="18.75" customHeight="1">
      <c r="F686" s="2"/>
    </row>
    <row r="687" ht="18.75" customHeight="1">
      <c r="F687" s="2"/>
    </row>
    <row r="688" ht="18.75" customHeight="1">
      <c r="F688" s="2"/>
    </row>
    <row r="689" ht="18.75" customHeight="1">
      <c r="F689" s="2"/>
    </row>
    <row r="690" ht="18.75" customHeight="1">
      <c r="F690" s="2"/>
    </row>
    <row r="691" ht="18.75" customHeight="1">
      <c r="F691" s="2"/>
    </row>
    <row r="692" ht="18.75" customHeight="1">
      <c r="F692" s="2"/>
    </row>
    <row r="693" ht="18.75" customHeight="1">
      <c r="F693" s="2"/>
    </row>
    <row r="694" ht="18.75" customHeight="1">
      <c r="F694" s="2"/>
    </row>
    <row r="695" ht="18.75" customHeight="1">
      <c r="F695" s="2"/>
    </row>
    <row r="696" ht="18.75" customHeight="1">
      <c r="F696" s="2"/>
    </row>
    <row r="697" ht="18.75" customHeight="1">
      <c r="F697" s="2"/>
    </row>
    <row r="698" ht="18.75" customHeight="1">
      <c r="F698" s="2"/>
    </row>
    <row r="699" ht="18.75" customHeight="1">
      <c r="F699" s="2"/>
    </row>
    <row r="700" ht="18.75" customHeight="1">
      <c r="F700" s="2"/>
    </row>
    <row r="701" ht="18.75" customHeight="1">
      <c r="F701" s="2"/>
    </row>
    <row r="702" ht="18.75" customHeight="1">
      <c r="F702" s="2"/>
    </row>
    <row r="703" ht="18.75" customHeight="1">
      <c r="F703" s="2"/>
    </row>
    <row r="704" ht="18.75" customHeight="1">
      <c r="F704" s="2"/>
    </row>
    <row r="705" ht="18.75" customHeight="1">
      <c r="F705" s="2"/>
    </row>
    <row r="706" ht="18.75" customHeight="1">
      <c r="F706" s="2"/>
    </row>
    <row r="707" ht="18.75" customHeight="1">
      <c r="F707" s="2"/>
    </row>
    <row r="708" ht="18.75" customHeight="1">
      <c r="F708" s="2"/>
    </row>
    <row r="709" ht="18.75" customHeight="1">
      <c r="F709" s="2"/>
    </row>
    <row r="710" ht="18.75" customHeight="1">
      <c r="F710" s="2"/>
    </row>
    <row r="711" ht="18.75" customHeight="1">
      <c r="F711" s="2"/>
    </row>
    <row r="712" ht="18.75" customHeight="1">
      <c r="F712" s="2"/>
    </row>
    <row r="713" ht="18.75" customHeight="1">
      <c r="F713" s="2"/>
    </row>
    <row r="714" ht="18.75" customHeight="1">
      <c r="F714" s="2"/>
    </row>
    <row r="715" ht="18.75" customHeight="1">
      <c r="F715" s="2"/>
    </row>
    <row r="716" ht="18.75" customHeight="1">
      <c r="F716" s="2"/>
    </row>
    <row r="717" ht="18.75" customHeight="1">
      <c r="F717" s="2"/>
    </row>
    <row r="718" ht="18.75" customHeight="1">
      <c r="F718" s="2"/>
    </row>
    <row r="719" ht="18.75" customHeight="1">
      <c r="F719" s="2"/>
    </row>
    <row r="720" ht="18.75" customHeight="1">
      <c r="F720" s="2"/>
    </row>
    <row r="721" ht="18.75" customHeight="1">
      <c r="F721" s="2"/>
    </row>
    <row r="722" ht="18.75" customHeight="1">
      <c r="F722" s="2"/>
    </row>
    <row r="723" ht="18.75" customHeight="1">
      <c r="F723" s="2"/>
    </row>
    <row r="724" ht="18.75" customHeight="1">
      <c r="F724" s="2"/>
    </row>
    <row r="725" ht="18.75" customHeight="1">
      <c r="F725" s="2"/>
    </row>
    <row r="726" ht="18.75" customHeight="1">
      <c r="F726" s="2"/>
    </row>
    <row r="727" ht="18.75" customHeight="1">
      <c r="F727" s="2"/>
    </row>
    <row r="728" ht="18.75" customHeight="1">
      <c r="F728" s="2"/>
    </row>
    <row r="729" ht="18.75" customHeight="1">
      <c r="F729" s="2"/>
    </row>
    <row r="730" ht="18.75" customHeight="1">
      <c r="F730" s="2"/>
    </row>
    <row r="731" ht="18.75" customHeight="1">
      <c r="F731" s="2"/>
    </row>
    <row r="732" ht="18.75" customHeight="1">
      <c r="F732" s="2"/>
    </row>
    <row r="733" ht="18.75" customHeight="1">
      <c r="F733" s="2"/>
    </row>
    <row r="734" ht="18.75" customHeight="1">
      <c r="F734" s="2"/>
    </row>
    <row r="735" ht="18.75" customHeight="1">
      <c r="F735" s="2"/>
    </row>
    <row r="736" ht="18.75" customHeight="1">
      <c r="F736" s="2"/>
    </row>
    <row r="737" ht="18.75" customHeight="1">
      <c r="F737" s="2"/>
    </row>
    <row r="738" ht="18.75" customHeight="1">
      <c r="F738" s="2"/>
    </row>
    <row r="739" ht="18.75" customHeight="1">
      <c r="F739" s="2"/>
    </row>
    <row r="740" ht="18.75" customHeight="1">
      <c r="F740" s="2"/>
    </row>
    <row r="741" ht="18.75" customHeight="1">
      <c r="F741" s="2"/>
    </row>
    <row r="742" ht="18.75" customHeight="1">
      <c r="F742" s="2"/>
    </row>
    <row r="743" ht="18.75" customHeight="1">
      <c r="F743" s="2"/>
    </row>
    <row r="744" ht="18.75" customHeight="1">
      <c r="F744" s="2"/>
    </row>
    <row r="745" ht="18.75" customHeight="1">
      <c r="F745" s="2"/>
    </row>
    <row r="746" ht="18.75" customHeight="1">
      <c r="F746" s="2"/>
    </row>
    <row r="747" ht="18.75" customHeight="1">
      <c r="F747" s="2"/>
    </row>
    <row r="748" ht="18.75" customHeight="1">
      <c r="F748" s="2"/>
    </row>
    <row r="749" ht="18.75" customHeight="1">
      <c r="F749" s="2"/>
    </row>
    <row r="750" ht="18.75" customHeight="1">
      <c r="F750" s="2"/>
    </row>
    <row r="751" ht="18.75" customHeight="1">
      <c r="F751" s="2"/>
    </row>
    <row r="752" ht="18.75" customHeight="1">
      <c r="F752" s="2"/>
    </row>
    <row r="753" ht="18.75" customHeight="1">
      <c r="F753" s="2"/>
    </row>
    <row r="754" ht="18.75" customHeight="1">
      <c r="F754" s="2"/>
    </row>
    <row r="755" ht="18.75" customHeight="1">
      <c r="F755" s="2"/>
    </row>
    <row r="756" ht="18.75" customHeight="1">
      <c r="F756" s="2"/>
    </row>
    <row r="757" ht="18.75" customHeight="1">
      <c r="F757" s="2"/>
    </row>
    <row r="758" ht="18.75" customHeight="1">
      <c r="F758" s="2"/>
    </row>
    <row r="759" ht="18.75" customHeight="1">
      <c r="F759" s="2"/>
    </row>
    <row r="760" ht="18.75" customHeight="1">
      <c r="F760" s="2"/>
    </row>
    <row r="761" ht="18.75" customHeight="1">
      <c r="F761" s="2"/>
    </row>
    <row r="762" ht="18.75" customHeight="1">
      <c r="F762" s="2"/>
    </row>
    <row r="763" ht="18.75" customHeight="1">
      <c r="F763" s="2"/>
    </row>
    <row r="764" ht="18.75" customHeight="1">
      <c r="F764" s="2"/>
    </row>
    <row r="765" ht="18.75" customHeight="1">
      <c r="F765" s="2"/>
    </row>
    <row r="766" ht="18.75" customHeight="1">
      <c r="F766" s="2"/>
    </row>
    <row r="767" ht="18.75" customHeight="1">
      <c r="F767" s="2"/>
    </row>
    <row r="768" ht="18.75" customHeight="1">
      <c r="F768" s="2"/>
    </row>
    <row r="769" ht="18.75" customHeight="1">
      <c r="F769" s="2"/>
    </row>
    <row r="770" ht="18.75" customHeight="1">
      <c r="F770" s="2"/>
    </row>
    <row r="771" ht="18.75" customHeight="1">
      <c r="F771" s="2"/>
    </row>
    <row r="772" ht="18.75" customHeight="1">
      <c r="F772" s="2"/>
    </row>
    <row r="773" ht="18.75" customHeight="1">
      <c r="F773" s="2"/>
    </row>
    <row r="774" ht="18.75" customHeight="1">
      <c r="F774" s="2"/>
    </row>
    <row r="775" ht="18.75" customHeight="1">
      <c r="F775" s="2"/>
    </row>
    <row r="776" ht="18.75" customHeight="1">
      <c r="F776" s="2"/>
    </row>
    <row r="777" ht="18.75" customHeight="1">
      <c r="F777" s="2"/>
    </row>
    <row r="778" ht="18.75" customHeight="1">
      <c r="F778" s="2"/>
    </row>
    <row r="779" ht="18.75" customHeight="1">
      <c r="F779" s="2"/>
    </row>
    <row r="780" ht="18.75" customHeight="1">
      <c r="F780" s="2"/>
    </row>
    <row r="781" ht="18.75" customHeight="1">
      <c r="F781" s="2"/>
    </row>
    <row r="782" ht="18.75" customHeight="1">
      <c r="F782" s="2"/>
    </row>
    <row r="783" ht="18.75" customHeight="1">
      <c r="F783" s="2"/>
    </row>
    <row r="784" ht="18.75" customHeight="1">
      <c r="F784" s="2"/>
    </row>
    <row r="785" ht="18.75" customHeight="1">
      <c r="F785" s="2"/>
    </row>
    <row r="786" ht="18.75" customHeight="1">
      <c r="F786" s="2"/>
    </row>
    <row r="787" ht="18.75" customHeight="1">
      <c r="F787" s="2"/>
    </row>
    <row r="788" ht="18.75" customHeight="1">
      <c r="F788" s="2"/>
    </row>
    <row r="789" ht="18.75" customHeight="1">
      <c r="F789" s="2"/>
    </row>
    <row r="790" ht="18.75" customHeight="1">
      <c r="F790" s="2"/>
    </row>
    <row r="791" ht="18.75" customHeight="1">
      <c r="F791" s="2"/>
    </row>
    <row r="792" ht="18.75" customHeight="1">
      <c r="F792" s="2"/>
    </row>
    <row r="793" ht="18.75" customHeight="1">
      <c r="F793" s="2"/>
    </row>
    <row r="794" ht="18.75" customHeight="1">
      <c r="F794" s="2"/>
    </row>
    <row r="795" ht="18.75" customHeight="1">
      <c r="F795" s="2"/>
    </row>
    <row r="796" ht="18.75" customHeight="1">
      <c r="F796" s="2"/>
    </row>
    <row r="797" ht="18.75" customHeight="1">
      <c r="F797" s="2"/>
    </row>
    <row r="798" ht="18.75" customHeight="1">
      <c r="F798" s="2"/>
    </row>
    <row r="799" ht="18.75" customHeight="1">
      <c r="F799" s="2"/>
    </row>
    <row r="800" ht="18.75" customHeight="1">
      <c r="F800" s="2"/>
    </row>
    <row r="801" ht="18.75" customHeight="1">
      <c r="F801" s="2"/>
    </row>
    <row r="802" ht="18.75" customHeight="1">
      <c r="F802" s="2"/>
    </row>
    <row r="803" ht="18.75" customHeight="1">
      <c r="F803" s="2"/>
    </row>
    <row r="804" ht="18.75" customHeight="1">
      <c r="F804" s="2"/>
    </row>
    <row r="805" ht="18.75" customHeight="1">
      <c r="F805" s="2"/>
    </row>
    <row r="806" ht="18.75" customHeight="1">
      <c r="F806" s="2"/>
    </row>
    <row r="807" ht="18.75" customHeight="1">
      <c r="F807" s="2"/>
    </row>
    <row r="808" ht="18.75" customHeight="1">
      <c r="F808" s="2"/>
    </row>
    <row r="809" ht="18.75" customHeight="1">
      <c r="F809" s="2"/>
    </row>
    <row r="810" ht="18.75" customHeight="1">
      <c r="F810" s="2"/>
    </row>
    <row r="811" ht="18.75" customHeight="1">
      <c r="F811" s="2"/>
    </row>
    <row r="812" ht="18.75" customHeight="1">
      <c r="F812" s="2"/>
    </row>
    <row r="813" ht="18.75" customHeight="1">
      <c r="F813" s="2"/>
    </row>
    <row r="814" ht="18.75" customHeight="1">
      <c r="F814" s="2"/>
    </row>
    <row r="815" ht="18.75" customHeight="1">
      <c r="F815" s="2"/>
    </row>
    <row r="816" ht="18.75" customHeight="1">
      <c r="F816" s="2"/>
    </row>
    <row r="817" ht="18.75" customHeight="1">
      <c r="F817" s="2"/>
    </row>
    <row r="818" ht="18.75" customHeight="1">
      <c r="F818" s="2"/>
    </row>
    <row r="819" ht="18.75" customHeight="1">
      <c r="F819" s="2"/>
    </row>
    <row r="820" ht="18.75" customHeight="1">
      <c r="F820" s="2"/>
    </row>
    <row r="821" ht="18.75" customHeight="1">
      <c r="F821" s="2"/>
    </row>
    <row r="822" ht="18.75" customHeight="1">
      <c r="F822" s="2"/>
    </row>
    <row r="823" ht="18.75" customHeight="1">
      <c r="F823" s="2"/>
    </row>
    <row r="824" ht="18.75" customHeight="1">
      <c r="F824" s="2"/>
    </row>
    <row r="825" ht="18.75" customHeight="1">
      <c r="F825" s="2"/>
    </row>
    <row r="826" ht="18.75" customHeight="1">
      <c r="F826" s="2"/>
    </row>
    <row r="827" ht="18.75" customHeight="1">
      <c r="F827" s="2"/>
    </row>
    <row r="828" ht="18.75" customHeight="1">
      <c r="F828" s="2"/>
    </row>
    <row r="829" ht="18.75" customHeight="1">
      <c r="F829" s="2"/>
    </row>
    <row r="830" ht="18.75" customHeight="1">
      <c r="F830" s="2"/>
    </row>
    <row r="831" ht="18.75" customHeight="1">
      <c r="F831" s="2"/>
    </row>
    <row r="832" ht="18.75" customHeight="1">
      <c r="F832" s="2"/>
    </row>
    <row r="833" ht="18.75" customHeight="1">
      <c r="F833" s="2"/>
    </row>
    <row r="834" ht="18.75" customHeight="1">
      <c r="F834" s="2"/>
    </row>
    <row r="835" ht="18.75" customHeight="1">
      <c r="F835" s="2"/>
    </row>
    <row r="836" ht="18.75" customHeight="1">
      <c r="F836" s="2"/>
    </row>
    <row r="837" ht="18.75" customHeight="1">
      <c r="F837" s="2"/>
    </row>
    <row r="838" ht="18.75" customHeight="1">
      <c r="F838" s="2"/>
    </row>
    <row r="839" ht="18.75" customHeight="1">
      <c r="F839" s="2"/>
    </row>
    <row r="840" ht="18.75" customHeight="1">
      <c r="F840" s="2"/>
    </row>
    <row r="841" ht="18.75" customHeight="1">
      <c r="F841" s="2"/>
    </row>
    <row r="842" ht="18.75" customHeight="1">
      <c r="F842" s="2"/>
    </row>
    <row r="843" ht="18.75" customHeight="1">
      <c r="F843" s="2"/>
    </row>
    <row r="844" ht="18.75" customHeight="1">
      <c r="F844" s="2"/>
    </row>
    <row r="845" ht="18.75" customHeight="1">
      <c r="F845" s="2"/>
    </row>
    <row r="846" ht="18.75" customHeight="1">
      <c r="F846" s="2"/>
    </row>
    <row r="847" ht="18.75" customHeight="1">
      <c r="F847" s="2"/>
    </row>
    <row r="848" ht="18.75" customHeight="1">
      <c r="F848" s="2"/>
    </row>
    <row r="849" ht="18.75" customHeight="1">
      <c r="F849" s="2"/>
    </row>
    <row r="850" ht="18.75" customHeight="1">
      <c r="F850" s="2"/>
    </row>
    <row r="851" ht="18.75" customHeight="1">
      <c r="F851" s="2"/>
    </row>
    <row r="852" ht="18.75" customHeight="1">
      <c r="F852" s="2"/>
    </row>
    <row r="853" ht="18.75" customHeight="1">
      <c r="F853" s="2"/>
    </row>
    <row r="854" ht="18.75" customHeight="1">
      <c r="F854" s="2"/>
    </row>
    <row r="855" ht="18.75" customHeight="1">
      <c r="F855" s="2"/>
    </row>
    <row r="856" ht="18.75" customHeight="1">
      <c r="F856" s="2"/>
    </row>
    <row r="857" ht="18.75" customHeight="1">
      <c r="F857" s="2"/>
    </row>
    <row r="858" ht="18.75" customHeight="1">
      <c r="F858" s="2"/>
    </row>
    <row r="859" ht="18.75" customHeight="1">
      <c r="F859" s="2"/>
    </row>
    <row r="860" ht="18.75" customHeight="1">
      <c r="F860" s="2"/>
    </row>
    <row r="861" ht="18.75" customHeight="1">
      <c r="F861" s="2"/>
    </row>
    <row r="862" ht="18.75" customHeight="1">
      <c r="F862" s="2"/>
    </row>
    <row r="863" ht="18.75" customHeight="1">
      <c r="F863" s="2"/>
    </row>
    <row r="864" ht="18.75" customHeight="1">
      <c r="F864" s="2"/>
    </row>
    <row r="865" ht="18.75" customHeight="1">
      <c r="F865" s="2"/>
    </row>
    <row r="866" ht="18.75" customHeight="1">
      <c r="F866" s="2"/>
    </row>
    <row r="867" ht="18.75" customHeight="1">
      <c r="F867" s="2"/>
    </row>
    <row r="868" ht="18.75" customHeight="1">
      <c r="F868" s="2"/>
    </row>
    <row r="869" ht="18.75" customHeight="1">
      <c r="F869" s="2"/>
    </row>
    <row r="870" ht="18.75" customHeight="1">
      <c r="F870" s="2"/>
    </row>
    <row r="871" ht="18.75" customHeight="1">
      <c r="F871" s="2"/>
    </row>
    <row r="872" ht="18.75" customHeight="1">
      <c r="F872" s="2"/>
    </row>
    <row r="873" ht="18.75" customHeight="1">
      <c r="F873" s="2"/>
    </row>
    <row r="874" ht="18.75" customHeight="1">
      <c r="F874" s="2"/>
    </row>
    <row r="875" ht="18.75" customHeight="1">
      <c r="F875" s="2"/>
    </row>
    <row r="876" ht="18.75" customHeight="1">
      <c r="F876" s="2"/>
    </row>
    <row r="877" ht="18.75" customHeight="1">
      <c r="F877" s="2"/>
    </row>
    <row r="878" ht="18.75" customHeight="1">
      <c r="F878" s="2"/>
    </row>
    <row r="879" ht="18.75" customHeight="1">
      <c r="F879" s="2"/>
    </row>
    <row r="880" ht="18.75" customHeight="1">
      <c r="F880" s="2"/>
    </row>
    <row r="881" ht="18.75" customHeight="1">
      <c r="F881" s="2"/>
    </row>
    <row r="882" ht="18.75" customHeight="1">
      <c r="F882" s="2"/>
    </row>
    <row r="883" ht="18.75" customHeight="1">
      <c r="F883" s="2"/>
    </row>
    <row r="884" ht="18.75" customHeight="1">
      <c r="F884" s="2"/>
    </row>
    <row r="885" ht="18.75" customHeight="1">
      <c r="F885" s="2"/>
    </row>
    <row r="886" ht="18.75" customHeight="1">
      <c r="F886" s="2"/>
    </row>
    <row r="887" ht="18.75" customHeight="1">
      <c r="F887" s="2"/>
    </row>
    <row r="888" ht="18.75" customHeight="1">
      <c r="F888" s="2"/>
    </row>
    <row r="889" ht="18.75" customHeight="1">
      <c r="F889" s="2"/>
    </row>
    <row r="890" ht="18.75" customHeight="1">
      <c r="F890" s="2"/>
    </row>
    <row r="891" ht="18.75" customHeight="1">
      <c r="F891" s="2"/>
    </row>
    <row r="892" ht="18.75" customHeight="1">
      <c r="F892" s="2"/>
    </row>
    <row r="893" ht="18.75" customHeight="1">
      <c r="F893" s="2"/>
    </row>
    <row r="894" ht="18.75" customHeight="1">
      <c r="F894" s="2"/>
    </row>
    <row r="895" ht="18.75" customHeight="1">
      <c r="F895" s="2"/>
    </row>
    <row r="896" ht="18.75" customHeight="1">
      <c r="F896" s="2"/>
    </row>
    <row r="897" ht="18.75" customHeight="1">
      <c r="F897" s="2"/>
    </row>
    <row r="898" ht="18.75" customHeight="1">
      <c r="F898" s="2"/>
    </row>
    <row r="899" ht="18.75" customHeight="1">
      <c r="F899" s="2"/>
    </row>
    <row r="900" ht="18.75" customHeight="1">
      <c r="F900" s="2"/>
    </row>
    <row r="901" ht="18.75" customHeight="1">
      <c r="F901" s="2"/>
    </row>
    <row r="902" ht="18.75" customHeight="1">
      <c r="F902" s="2"/>
    </row>
    <row r="903" ht="18.75" customHeight="1">
      <c r="F903" s="2"/>
    </row>
    <row r="904" ht="18.75" customHeight="1">
      <c r="F904" s="2"/>
    </row>
    <row r="905" ht="18.75" customHeight="1">
      <c r="F905" s="2"/>
    </row>
    <row r="906" ht="18.75" customHeight="1">
      <c r="F906" s="2"/>
    </row>
    <row r="907" ht="18.75" customHeight="1">
      <c r="F907" s="2"/>
    </row>
    <row r="908" ht="18.75" customHeight="1">
      <c r="F908" s="2"/>
    </row>
    <row r="909" ht="18.75" customHeight="1">
      <c r="F909" s="2"/>
    </row>
    <row r="910" ht="18.75" customHeight="1">
      <c r="F910" s="2"/>
    </row>
    <row r="911" ht="18.75" customHeight="1">
      <c r="F911" s="2"/>
    </row>
    <row r="912" ht="18.75" customHeight="1">
      <c r="F912" s="2"/>
    </row>
    <row r="913" ht="18.75" customHeight="1">
      <c r="F913" s="2"/>
    </row>
    <row r="914" ht="18.75" customHeight="1">
      <c r="F914" s="2"/>
    </row>
    <row r="915" ht="18.75" customHeight="1">
      <c r="F915" s="2"/>
    </row>
    <row r="916" ht="18.75" customHeight="1">
      <c r="F916" s="2"/>
    </row>
    <row r="917" ht="18.75" customHeight="1">
      <c r="F917" s="2"/>
    </row>
    <row r="918" ht="18.75" customHeight="1">
      <c r="F918" s="2"/>
    </row>
    <row r="919" ht="18.75" customHeight="1">
      <c r="F919" s="2"/>
    </row>
    <row r="920" ht="18.75" customHeight="1">
      <c r="F920" s="2"/>
    </row>
    <row r="921" ht="18.75" customHeight="1">
      <c r="F921" s="2"/>
    </row>
    <row r="922" ht="18.75" customHeight="1">
      <c r="F922" s="2"/>
    </row>
    <row r="923" ht="18.75" customHeight="1">
      <c r="F923" s="2"/>
    </row>
    <row r="924" ht="18.75" customHeight="1">
      <c r="F924" s="2"/>
    </row>
    <row r="925" ht="18.75" customHeight="1">
      <c r="F925" s="2"/>
    </row>
    <row r="926" ht="18.75" customHeight="1">
      <c r="F926" s="2"/>
    </row>
    <row r="927" ht="18.75" customHeight="1">
      <c r="F927" s="2"/>
    </row>
    <row r="928" ht="18.75" customHeight="1">
      <c r="F928" s="2"/>
    </row>
    <row r="929" ht="18.75" customHeight="1">
      <c r="F929" s="2"/>
    </row>
    <row r="930" ht="18.75" customHeight="1">
      <c r="F930" s="2"/>
    </row>
    <row r="931" ht="18.75" customHeight="1">
      <c r="F931" s="2"/>
    </row>
    <row r="932" ht="18.75" customHeight="1">
      <c r="F932" s="2"/>
    </row>
    <row r="933" ht="18.75" customHeight="1">
      <c r="F933" s="2"/>
    </row>
    <row r="934" ht="18.75" customHeight="1">
      <c r="F934" s="2"/>
    </row>
    <row r="935" ht="18.75" customHeight="1">
      <c r="F935" s="2"/>
    </row>
    <row r="936" ht="18.75" customHeight="1">
      <c r="F936" s="2"/>
    </row>
    <row r="937" ht="18.75" customHeight="1">
      <c r="F937" s="2"/>
    </row>
    <row r="938" ht="18.75" customHeight="1">
      <c r="F938" s="2"/>
    </row>
    <row r="939" ht="18.75" customHeight="1">
      <c r="F939" s="2"/>
    </row>
    <row r="940" ht="18.75" customHeight="1">
      <c r="F940" s="2"/>
    </row>
    <row r="941" ht="18.75" customHeight="1">
      <c r="F941" s="2"/>
    </row>
    <row r="942" ht="18.75" customHeight="1">
      <c r="F942" s="2"/>
    </row>
    <row r="943" ht="18.75" customHeight="1">
      <c r="F943" s="2"/>
    </row>
    <row r="944" ht="18.75" customHeight="1">
      <c r="F944" s="2"/>
    </row>
    <row r="945" ht="18.75" customHeight="1">
      <c r="F945" s="2"/>
    </row>
    <row r="946" ht="18.75" customHeight="1">
      <c r="F946" s="2"/>
    </row>
    <row r="947" ht="18.75" customHeight="1">
      <c r="F947" s="2"/>
    </row>
    <row r="948" ht="18.75" customHeight="1">
      <c r="F948" s="2"/>
    </row>
    <row r="949" ht="18.75" customHeight="1">
      <c r="F949" s="2"/>
    </row>
    <row r="950" ht="18.75" customHeight="1">
      <c r="F950" s="2"/>
    </row>
    <row r="951" ht="18.75" customHeight="1">
      <c r="F951" s="2"/>
    </row>
    <row r="952" ht="18.75" customHeight="1">
      <c r="F952" s="2"/>
    </row>
    <row r="953" ht="18.75" customHeight="1">
      <c r="F953" s="2"/>
    </row>
    <row r="954" ht="18.75" customHeight="1">
      <c r="F954" s="2"/>
    </row>
    <row r="955" ht="18.75" customHeight="1">
      <c r="F955" s="2"/>
    </row>
    <row r="956" ht="18.75" customHeight="1">
      <c r="F956" s="2"/>
    </row>
    <row r="957" ht="18.75" customHeight="1">
      <c r="F957" s="2"/>
    </row>
    <row r="958" ht="18.75" customHeight="1">
      <c r="F958" s="2"/>
    </row>
    <row r="959" ht="18.75" customHeight="1">
      <c r="F959" s="2"/>
    </row>
    <row r="960" ht="18.75" customHeight="1">
      <c r="F960" s="2"/>
    </row>
    <row r="961" ht="18.75" customHeight="1">
      <c r="F961" s="2"/>
    </row>
    <row r="962" ht="18.75" customHeight="1">
      <c r="F962" s="2"/>
    </row>
    <row r="963" ht="18.75" customHeight="1">
      <c r="F963" s="2"/>
    </row>
    <row r="964" ht="18.75" customHeight="1">
      <c r="F964" s="2"/>
    </row>
    <row r="965" ht="18.75" customHeight="1">
      <c r="F965" s="2"/>
    </row>
    <row r="966" ht="18.75" customHeight="1">
      <c r="F966" s="2"/>
    </row>
    <row r="967" ht="18.75" customHeight="1">
      <c r="F967" s="2"/>
    </row>
    <row r="968" ht="18.75" customHeight="1">
      <c r="F968" s="2"/>
    </row>
    <row r="969" ht="18.75" customHeight="1">
      <c r="F969" s="2"/>
    </row>
    <row r="970" ht="18.75" customHeight="1">
      <c r="F970" s="2"/>
    </row>
    <row r="971" ht="18.75" customHeight="1">
      <c r="F971" s="2"/>
    </row>
    <row r="972" ht="18.75" customHeight="1">
      <c r="F972" s="2"/>
    </row>
    <row r="973" ht="18.75" customHeight="1">
      <c r="F973" s="2"/>
    </row>
    <row r="974" ht="18.75" customHeight="1">
      <c r="F974" s="2"/>
    </row>
    <row r="975" ht="18.75" customHeight="1">
      <c r="F975" s="2"/>
    </row>
    <row r="976" ht="18.75" customHeight="1">
      <c r="F976" s="2"/>
    </row>
    <row r="977" ht="18.75" customHeight="1">
      <c r="F977" s="2"/>
    </row>
    <row r="978" ht="18.75" customHeight="1">
      <c r="F978" s="2"/>
    </row>
    <row r="979" ht="18.75" customHeight="1">
      <c r="F979" s="2"/>
    </row>
    <row r="980" ht="18.75" customHeight="1">
      <c r="F980" s="2"/>
    </row>
    <row r="981" ht="18.75" customHeight="1">
      <c r="F981" s="2"/>
    </row>
    <row r="982" ht="18.75" customHeight="1">
      <c r="F982" s="2"/>
    </row>
    <row r="983" ht="18.75" customHeight="1">
      <c r="F983" s="2"/>
    </row>
    <row r="984" ht="18.75" customHeight="1">
      <c r="F984" s="2"/>
    </row>
    <row r="985" ht="18.75" customHeight="1">
      <c r="F985" s="2"/>
    </row>
    <row r="986" ht="18.75" customHeight="1">
      <c r="F986" s="2"/>
    </row>
    <row r="987" ht="18.75" customHeight="1">
      <c r="F987" s="2"/>
    </row>
    <row r="988" ht="18.75" customHeight="1">
      <c r="F988" s="2"/>
    </row>
    <row r="989" ht="18.75" customHeight="1">
      <c r="F989" s="2"/>
    </row>
    <row r="990" ht="18.75" customHeight="1">
      <c r="F990" s="2"/>
    </row>
    <row r="991" ht="18.75" customHeight="1">
      <c r="F991" s="2"/>
    </row>
    <row r="992" ht="18.75" customHeight="1">
      <c r="F992" s="2"/>
    </row>
    <row r="993" ht="18.75" customHeight="1">
      <c r="F993" s="2"/>
    </row>
    <row r="994" ht="18.75" customHeight="1">
      <c r="F994" s="2"/>
    </row>
    <row r="995" ht="18.75" customHeight="1">
      <c r="F995" s="2"/>
    </row>
    <row r="996" ht="18.75" customHeight="1">
      <c r="F996" s="2"/>
    </row>
    <row r="997" ht="18.75" customHeight="1">
      <c r="F997" s="2"/>
    </row>
    <row r="998" ht="18.75" customHeight="1">
      <c r="F998" s="2"/>
    </row>
    <row r="999" ht="18.75" customHeight="1">
      <c r="F999" s="2"/>
    </row>
    <row r="1000" ht="18.75" customHeight="1">
      <c r="F1000" s="2"/>
    </row>
  </sheetData>
  <conditionalFormatting sqref="D1:D1000 F2 F19:F20 F23">
    <cfRule type="containsText" dxfId="0" priority="1" operator="containsText" text="Depends">
      <formula>NOT(ISERROR(SEARCH(("Depends"),(D1))))</formula>
    </cfRule>
  </conditionalFormatting>
  <conditionalFormatting sqref="D1:D1000 F2 F19:F20 F23">
    <cfRule type="containsText" dxfId="1" priority="2" stopIfTrue="1" operator="containsText" text="Yes">
      <formula>NOT(ISERROR(SEARCH(("Yes"),(D1))))</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2025-04-02T09:33:43Z</dcterms:created>
  <dc:creator>Amen Hailu</dc:creator>
</cp:coreProperties>
</file>